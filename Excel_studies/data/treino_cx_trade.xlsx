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ÍCIO" sheetId="1" state="visible" r:id="rId3"/>
    <sheet name="🗄️ BASE_VENDAS" sheetId="2" state="visible" r:id="rId4"/>
    <sheet name="🏷️ CADASTRO_SKU" sheetId="3" state="visible" r:id="rId5"/>
    <sheet name="🔍 EX1 · PROCX" sheetId="4" state="visible" r:id="rId6"/>
    <sheet name="⚡ EX2 · ARRAYS" sheetId="5" state="visible" r:id="rId7"/>
    <sheet name="📊 EX3 · AGREGAR" sheetId="6" state="visible" r:id="rId8"/>
    <sheet name="🎯 EX4 · DASHBOARD" sheetId="7" state="visible" r:id="rId9"/>
    <sheet name="✅ GABARIT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<sst xmlns="http://schemas.openxmlformats.org/spreadsheetml/2006/main" count="557" uniqueCount="326">
  <si>
    <t xml:space="preserve">🏪  Treino Excel — CX Trade</t>
  </si>
  <si>
    <t xml:space="preserve">Trade Marketing | Análise de PDV | Sell-out | Fórmulas 365</t>
  </si>
  <si>
    <t xml:space="preserve">Rafael Dutra  •  rafaeldutrapro@gmail.com  •  CX Trade — Estágio TI</t>
  </si>
  <si>
    <t xml:space="preserve">📂  Estrutura do Arquivo</t>
  </si>
  <si>
    <t xml:space="preserve">Aba</t>
  </si>
  <si>
    <t xml:space="preserve">Conteúdo</t>
  </si>
  <si>
    <t xml:space="preserve">Observação</t>
  </si>
  <si>
    <t xml:space="preserve">🗄️ BASE_VENDAS</t>
  </si>
  <si>
    <t xml:space="preserve">Dados brutos de vendas por PDV (35 registros). NÃO edite.</t>
  </si>
  <si>
    <t xml:space="preserve">Fonte de dados</t>
  </si>
  <si>
    <t xml:space="preserve">🏷️ CADASTRO_SKU</t>
  </si>
  <si>
    <t xml:space="preserve">Tabela de produtos/SKUs para exercícios de PROCX.</t>
  </si>
  <si>
    <t xml:space="preserve">Tabela de referência</t>
  </si>
  <si>
    <t xml:space="preserve">🔍 EX1 · PROCX</t>
  </si>
  <si>
    <t xml:space="preserve">3 exercícios progressivos de PROCX (XLOOKUP).</t>
  </si>
  <si>
    <t xml:space="preserve">★ Comece aqui</t>
  </si>
  <si>
    <t xml:space="preserve">⚡ EX2 · ARRAYS</t>
  </si>
  <si>
    <t xml:space="preserve">FILTRO, ÚNICO, CLASSIFICAR em contexto real de PDV.</t>
  </si>
  <si>
    <t xml:space="preserve">Arrays dinâmicos</t>
  </si>
  <si>
    <t xml:space="preserve">📊 EX3 · AGREGAR</t>
  </si>
  <si>
    <t xml:space="preserve">AGREGAR, SOMASES+ÚNICO, CONT.SES com curingas.</t>
  </si>
  <si>
    <t xml:space="preserve">Agregação avançada</t>
  </si>
  <si>
    <t xml:space="preserve">🎯 EX4 · DASHBOARD</t>
  </si>
  <si>
    <t xml:space="preserve">Dashboard completo — combine todas as fórmulas.</t>
  </si>
  <si>
    <t xml:space="preserve">Desafio final</t>
  </si>
  <si>
    <t xml:space="preserve">✅ GABARITO</t>
  </si>
  <si>
    <t xml:space="preserve">Fórmulas corretas de todos os exercícios.</t>
  </si>
  <si>
    <t xml:space="preserve">Só abra depois!</t>
  </si>
  <si>
    <t xml:space="preserve">🎨  Legenda de Cores</t>
  </si>
  <si>
    <t xml:space="preserve">Célula amarela</t>
  </si>
  <si>
    <t xml:space="preserve">← Aqui você digita SUA fórmula</t>
  </si>
  <si>
    <t xml:space="preserve">Célula verde</t>
  </si>
  <si>
    <t xml:space="preserve">← Gabarito / resultado esperado (aba GABARITO)</t>
  </si>
  <si>
    <t xml:space="preserve">Célula azul</t>
  </si>
  <si>
    <t xml:space="preserve">← Instrução ou dica</t>
  </si>
  <si>
    <t xml:space="preserve">Célula vermelha</t>
  </si>
  <si>
    <t xml:space="preserve">← Dado com erro proposital para testar SEERRO</t>
  </si>
  <si>
    <t xml:space="preserve">Cinza alternado</t>
  </si>
  <si>
    <t xml:space="preserve">← Linha de dado normal</t>
  </si>
  <si>
    <t xml:space="preserve">📌  Como usar</t>
  </si>
  <si>
    <t xml:space="preserve">1. Vá na aba 🔍 EX1 · PROCX e leia as instruções em azul de cada exercício.</t>
  </si>
  <si>
    <t xml:space="preserve">2. Clique na célula AMARELA e digite sua fórmula. Pressione Enter e veja o resultado.</t>
  </si>
  <si>
    <t xml:space="preserve">3. Compare com a aba ✅ GABARITO — mas tente sozinho antes!</t>
  </si>
  <si>
    <t xml:space="preserve">4. Os dados base ficam em 🗄️ BASE_VENDAS e 🏷️ CADASTRO_SKU — consulte sempre.</t>
  </si>
  <si>
    <t xml:space="preserve">5. Todas as fórmulas fazem referência cruzada às abas de dados, como na vida real.</t>
  </si>
  <si>
    <t xml:space="preserve">🗄️  BASE DE VENDAS — PDV CX Trade (Jan–Mar 2025)  |  NÃO EDITE ESTA ABA</t>
  </si>
  <si>
    <t xml:space="preserve">#</t>
  </si>
  <si>
    <t xml:space="preserve">ID_PDV</t>
  </si>
  <si>
    <t xml:space="preserve">Filial</t>
  </si>
  <si>
    <t xml:space="preserve">Região</t>
  </si>
  <si>
    <t xml:space="preserve">Produto</t>
  </si>
  <si>
    <t xml:space="preserve">SKU</t>
  </si>
  <si>
    <t xml:space="preserve">Categoria</t>
  </si>
  <si>
    <t xml:space="preserve">Unid. Vendidas</t>
  </si>
  <si>
    <t xml:space="preserve">Preço Unit. (R$)</t>
  </si>
  <si>
    <t xml:space="preserve">Receita (R$)</t>
  </si>
  <si>
    <t xml:space="preserve">Meta (Unid.)</t>
  </si>
  <si>
    <t xml:space="preserve">% Meta</t>
  </si>
  <si>
    <t xml:space="preserve">PDV-001</t>
  </si>
  <si>
    <t xml:space="preserve">Recife Centro</t>
  </si>
  <si>
    <t xml:space="preserve">Recife</t>
  </si>
  <si>
    <t xml:space="preserve">Refrigerante Cola 2L</t>
  </si>
  <si>
    <t xml:space="preserve">SKU-001</t>
  </si>
  <si>
    <t xml:space="preserve">Bebidas</t>
  </si>
  <si>
    <t xml:space="preserve">PDV-002</t>
  </si>
  <si>
    <t xml:space="preserve">Recife Norte</t>
  </si>
  <si>
    <t xml:space="preserve">Suco Tropical 1L</t>
  </si>
  <si>
    <t xml:space="preserve">SKU-002</t>
  </si>
  <si>
    <t xml:space="preserve">PDV-003</t>
  </si>
  <si>
    <t xml:space="preserve">Olinda</t>
  </si>
  <si>
    <t xml:space="preserve">Grande Recife</t>
  </si>
  <si>
    <t xml:space="preserve">Água Mineral 500ml</t>
  </si>
  <si>
    <t xml:space="preserve">SKU-003</t>
  </si>
  <si>
    <t xml:space="preserve">PDV-004</t>
  </si>
  <si>
    <t xml:space="preserve">Caruaru</t>
  </si>
  <si>
    <t xml:space="preserve">Agreste</t>
  </si>
  <si>
    <t xml:space="preserve">Isotônico Laranja 1L</t>
  </si>
  <si>
    <t xml:space="preserve">SKU-004</t>
  </si>
  <si>
    <t xml:space="preserve">PDV-005</t>
  </si>
  <si>
    <t xml:space="preserve">Recife Sul</t>
  </si>
  <si>
    <t xml:space="preserve">Energético 250ml</t>
  </si>
  <si>
    <t xml:space="preserve">SKU-005</t>
  </si>
  <si>
    <t xml:space="preserve">PDV-006</t>
  </si>
  <si>
    <t xml:space="preserve">Jaboatão</t>
  </si>
  <si>
    <t xml:space="preserve">PDV-007</t>
  </si>
  <si>
    <t xml:space="preserve">Paulista</t>
  </si>
  <si>
    <t xml:space="preserve">Snack Salgado 100g</t>
  </si>
  <si>
    <t xml:space="preserve">SKU-006</t>
  </si>
  <si>
    <t xml:space="preserve">Snacks</t>
  </si>
  <si>
    <t xml:space="preserve">PDV-008</t>
  </si>
  <si>
    <t xml:space="preserve">PDV-009</t>
  </si>
  <si>
    <t xml:space="preserve">PDV-010</t>
  </si>
  <si>
    <t xml:space="preserve">PDV-011</t>
  </si>
  <si>
    <t xml:space="preserve">PDV-012</t>
  </si>
  <si>
    <t xml:space="preserve">PDV-013</t>
  </si>
  <si>
    <t xml:space="preserve">PDV-014</t>
  </si>
  <si>
    <t xml:space="preserve">PDV-015</t>
  </si>
  <si>
    <t xml:space="preserve">PDV-016</t>
  </si>
  <si>
    <t xml:space="preserve">PDV-017</t>
  </si>
  <si>
    <t xml:space="preserve">PDV-018</t>
  </si>
  <si>
    <t xml:space="preserve">PDV-019</t>
  </si>
  <si>
    <t xml:space="preserve">PDV-020</t>
  </si>
  <si>
    <t xml:space="preserve">PDV-021</t>
  </si>
  <si>
    <t xml:space="preserve">PDV-022</t>
  </si>
  <si>
    <t xml:space="preserve">PDV-023</t>
  </si>
  <si>
    <t xml:space="preserve">PDV-024</t>
  </si>
  <si>
    <t xml:space="preserve">PDV-025</t>
  </si>
  <si>
    <t xml:space="preserve">PDV-026</t>
  </si>
  <si>
    <t xml:space="preserve">PDV-027</t>
  </si>
  <si>
    <t xml:space="preserve">PDV-028</t>
  </si>
  <si>
    <t xml:space="preserve">PDV-029</t>
  </si>
  <si>
    <t xml:space="preserve">PDV-030</t>
  </si>
  <si>
    <t xml:space="preserve">PDV-031</t>
  </si>
  <si>
    <t xml:space="preserve">PDV-032</t>
  </si>
  <si>
    <t xml:space="preserve">PDV-033</t>
  </si>
  <si>
    <t xml:space="preserve">PDV-034</t>
  </si>
  <si>
    <t xml:space="preserve">TOTAIS</t>
  </si>
  <si>
    <t xml:space="preserve">🏷️  CADASTRO DE PRODUTOS / SKUs  —  Tabela de Referência para PROCX</t>
  </si>
  <si>
    <t xml:space="preserve">Preço Tabelado (R$)</t>
  </si>
  <si>
    <t xml:space="preserve">Fornecedor</t>
  </si>
  <si>
    <t xml:space="preserve">Ativo</t>
  </si>
  <si>
    <t xml:space="preserve">Margem %</t>
  </si>
  <si>
    <t xml:space="preserve">Coca-Cola FEMSA</t>
  </si>
  <si>
    <t xml:space="preserve">SIM</t>
  </si>
  <si>
    <t xml:space="preserve">Del Valle</t>
  </si>
  <si>
    <t xml:space="preserve">Indaiá</t>
  </si>
  <si>
    <t xml:space="preserve">Gatorade/PepsiCo</t>
  </si>
  <si>
    <t xml:space="preserve">Red Bull</t>
  </si>
  <si>
    <t xml:space="preserve">Elma Chips</t>
  </si>
  <si>
    <t xml:space="preserve">SKU-007</t>
  </si>
  <si>
    <t xml:space="preserve">Barra de Cereal 40g</t>
  </si>
  <si>
    <t xml:space="preserve">Nutry</t>
  </si>
  <si>
    <t xml:space="preserve">NÃO</t>
  </si>
  <si>
    <t xml:space="preserve">💡  Esta tabela é usada nos exercícios de PROCX. SKU-007 está INATIVO para testar o argumento [se_não_encontrado]. Referência: ='🏷️ CADASTRO_SKU'!B3:H9 (intervalo B3:H9 para as fórmulas).</t>
  </si>
  <si>
    <t xml:space="preserve">🔍  Exercício 1 — PROCX (XLOOKUP)  |  Busca avançada em tabela de SKUs</t>
  </si>
  <si>
    <t xml:space="preserve">Objetivo: buscar informações do CADASTRO_SKU a partir de um código de SKU. Sintaxe: =PROCX( valor_proc ; intervalo_busca ; intervalo_retorno ; [se_não_encontrado] )
Referência: ='🏷️ CADASTRO_SKU'!B3:B9 = coluna de SKU  |  Colunas C=Produto, E=Preço, G=Ativo, H=Margem</t>
  </si>
  <si>
    <t xml:space="preserve">📌  Exercício 1.1 — Busca simples: retornar o NOME do produto a partir do SKU</t>
  </si>
  <si>
    <t xml:space="preserve">Tarefa: Na coluna D, escreva uma fórmula PROCX que busque o SKU da coluna B na aba CADASTRO_SKU e retorne o NOME DO PRODUTO (coluna C do cadastro).
Dica: =PROCX( B10 ; '🏷️ CADASTRO_SKU'!$B$3:$B$9 ; '🏷️ CADASTRO_SKU'!$C$3:$C$9 )</t>
  </si>
  <si>
    <t xml:space="preserve">SKU (dado)</t>
  </si>
  <si>
    <t xml:space="preserve">Categoria buscada</t>
  </si>
  <si>
    <t xml:space="preserve">Nome do Produto (PROCX)</t>
  </si>
  <si>
    <t xml:space="preserve">Preço Unit. (PROCX)</t>
  </si>
  <si>
    <t xml:space="preserve">📌  Exercício 1.2 — [se_não_encontrado]: tratar SKU inexistente sem #NA</t>
  </si>
  <si>
    <t xml:space="preserve">Tarefa: SKU-007 está INATIVO e SKU-999 não existe. Use o 4º argumento do PROCX para exibir 'Produto não cadastrado' no lugar de #NA.
Dica: =PROCX( B20 ; $B$3:$B$9 ; $C$3:$C$9 ; "Produto não cadastrado" ) — use SENÃODISP como alternativa.</t>
  </si>
  <si>
    <t xml:space="preserve">Esperado</t>
  </si>
  <si>
    <t xml:space="preserve">Resultado PROCX (com tratamento)</t>
  </si>
  <si>
    <t xml:space="preserve">Status Ativo (PROCX)</t>
  </si>
  <si>
    <t xml:space="preserve">Produto não cadastrado  ← inativo!</t>
  </si>
  <si>
    <t xml:space="preserve">SKU-999</t>
  </si>
  <si>
    <t xml:space="preserve">Produto não cadastrado  ← não existe</t>
  </si>
  <si>
    <t xml:space="preserve">📌  Exercício 1.3 — Retornar MÚLTIPLAS colunas de uma só vez (superpoder do PROCX)</t>
  </si>
  <si>
    <t xml:space="preserve">Tarefa: Um único PROCX pode retornar Produto + Categoria + Preço + Fornecedor ao mesmo tempo!
Dica: mude intervalo_retorno para várias colunas: '🏷️ CADASTRO_SKU'!$C$3:$F$9 — retorna 4 colunas de uma vez.</t>
  </si>
  <si>
    <t xml:space="preserve">Produto (spill →)</t>
  </si>
  <si>
    <t xml:space="preserve">Preço (R$)</t>
  </si>
  <si>
    <t xml:space="preserve">⭐  Resultado esperado: a fórmula em C27 deve preencher automaticamente D27 e E27 com Categoria e Preço. Isso é o 'spill' (derramamento) do Excel 365 — uma fórmula, múltiplas células preenchidas!</t>
  </si>
  <si>
    <t xml:space="preserve">⚡  Exercício 2 — Arrays Dinâmicos: FILTRO, ÚNICO, CLASSIFICAR</t>
  </si>
  <si>
    <t xml:space="preserve">Dados: aba '🗄️ BASE_VENDAS' (linhas 3 a 37, colunas A:L)  |  Referência rápida — A=Nº  B=ID_PDV  C=Filial  D=Região  E=Produto  F=SKU  G=Cat  H=Unid  I=Preço  J=Receita  K=Meta  L=%Meta
Fórmulas de array derramam resultados automaticamente — basta digitar em UMA célula.</t>
  </si>
  <si>
    <t xml:space="preserve">📌  Exercício 2.1 — FILTRO: mostrar só as vendas de Recife</t>
  </si>
  <si>
    <t xml:space="preserve">Tarefa: Na célula B9, escreva um FILTRO que retorne Filial, Produto, SKU e Unidades de todos os registros onde a Região (coluna D) seja exatamente 'Recife'.
Dica: =FILTRO( BASE_VENDAS!C3:H37 ; BASE_VENDAS!D3:D37="Recife" ; "Sem resultados" )</t>
  </si>
  <si>
    <t xml:space="preserve">Filial (derrama)</t>
  </si>
  <si>
    <t xml:space="preserve">Cat</t>
  </si>
  <si>
    <t xml:space="preserve">← derrama automaticamente</t>
  </si>
  <si>
    <t xml:space="preserve">📌  Exercício 2.2 — FILTRO com dupla condição (E lógico com *)</t>
  </si>
  <si>
    <t xml:space="preserve">Tarefa: Na célula B25, filtre os registros onde Região = 'Grande Recife' E Unidades &gt; 100.
Dica: =FILTRO( intervalo ; (D3:D37="Grande Recife") * (H3:H37&gt;100) ; "Nenhum" )
O * entre parênteses funciona como E lógico — AMBAS as condições precisam ser verdadeiras.</t>
  </si>
  <si>
    <t xml:space="preserve">📌  Exercício 2.3 — ÚNICO e CLASSIFICAR: listas sem duplicata, ordenadas</t>
  </si>
  <si>
    <t xml:space="preserve">Tarefa A (B40): Use ÚNICO para listar todas as Filiais únicas da base (coluna C).
Tarefa B (D40): Use CLASSIFICAR(ÚNICO(...)) para a mesma lista, mas em ordem alfabética crescente.
Tarefa C (F40): Use ÚNICO na coluna de Produto (E) e classifique em ordem DECRESCENTE (-1).</t>
  </si>
  <si>
    <t xml:space="preserve">A) Filiais únicas (ÚNICO)</t>
  </si>
  <si>
    <t xml:space="preserve">← derrama</t>
  </si>
  <si>
    <t xml:space="preserve">B) Filiais únicas ordenadas (CLASSIFICAR+ÚNICO)</t>
  </si>
  <si>
    <t xml:space="preserve">C) Produtos únicos desc. (CLASSIFICAR ÚNICO -1)</t>
  </si>
  <si>
    <t xml:space="preserve">📊  Exercício 3 — AGREGAR, SOMASES+ÚNICO, CONT.SES com Curingas</t>
  </si>
  <si>
    <t xml:space="preserve">Dados em '🗄️ BASE_VENDAS' — colunas: C=Filial | D=Região | E=Produto | F=SKU | G=Cat | H=Unid | I=Preço | J=Receita | K=Meta | L=%Meta
AGREGAR(núm_fn ; opção ; intervalo): núm 9=SOMA | 1=MÉDIA | 4=MÁX | 5=MÍN | 14=MAIOR(k) | 15=MENOR(k).  Opção 5=ignora ocultos | 6=ignora erros | 7=ambos</t>
  </si>
  <si>
    <t xml:space="preserve">📌  Exercício 3.1 — AGREGAR: calcular métricas ignorando filtros e erros</t>
  </si>
  <si>
    <t xml:space="preserve">Tarefa: Preencha as fórmulas AGREGAR abaixo. Quando você aplicar Filtro Automático na BASE_VENDAS e ocultar linhas, estas fórmulas devem atualizar automaticamente — ao contrário de SOMA/MÉDIA normais.
Experimente: ative um filtro na BASE_VENDAS após resolver e veja os valores mudarem aqui!</t>
  </si>
  <si>
    <t xml:space="preserve">Métrica</t>
  </si>
  <si>
    <t xml:space="preserve">Fórmula AGREGAR (col D = Unid.)</t>
  </si>
  <si>
    <t xml:space="preserve">Resultado esperado</t>
  </si>
  <si>
    <t xml:space="preserve">Fórmula normal (limitada)</t>
  </si>
  <si>
    <t xml:space="preserve">Soma total Unid. (ignora ocultos)</t>
  </si>
  <si>
    <t xml:space="preserve">Soma das unids visíveis</t>
  </si>
  <si>
    <t xml:space="preserve">Média Unid. (ignora erros)</t>
  </si>
  <si>
    <t xml:space="preserve">Média desconsid. #NA</t>
  </si>
  <si>
    <t xml:space="preserve">2º maior valor de Unid.</t>
  </si>
  <si>
    <t xml:space="preserve">2º maior</t>
  </si>
  <si>
    <t xml:space="preserve">Mínimo (ignora ocultos + erros)</t>
  </si>
  <si>
    <t xml:space="preserve">Menor valor visível</t>
  </si>
  <si>
    <t xml:space="preserve">Soma Receita (ignora ocultos)</t>
  </si>
  <si>
    <t xml:space="preserve">Receita das visíveis</t>
  </si>
  <si>
    <t xml:space="preserve">📌  Exercício 3.2 — SOMASES + ÚNICO: resumo dinâmico por região (sem tabela dinâmica!)</t>
  </si>
  <si>
    <t xml:space="preserve">Tarefa: Coluna B (B20) — use ÚNICO para listar as regiões únicas da base.
Coluna C (C20) — use SOMASES para somar Unidades por região usando o resultado do ÚNICO (referência com #).
Coluna D (D20) — some a Receita da mesma forma. Resultado: tabela de resumo dinâmica!</t>
  </si>
  <si>
    <t xml:space="preserve">Região (ÚNICO — derrama)</t>
  </si>
  <si>
    <t xml:space="preserve">Total Unid. (SOMASES)</t>
  </si>
  <si>
    <t xml:space="preserve">Total Receita (SOMASES)</t>
  </si>
  <si>
    <t xml:space="preserve">Nº Registros (CONT.SES)</t>
  </si>
  <si>
    <t xml:space="preserve">⭐  O # após B20 indica 'use todo o array derramado de B20'. Se a base ganhar uma nova região, ela aparece automaticamente no resumo — sem atualizar tabela dinâmica ou reescrever fórmulas.</t>
  </si>
  <si>
    <t xml:space="preserve">📌  Exercício 3.3 — CONT.SES com Curingas: contar dados inconsistentes</t>
  </si>
  <si>
    <t xml:space="preserve">Contexto: Os nomes de filial na base têm variações ('Recife Centro', 'Recife Norte', 'Recife Sul'). Use o curinga * para contar TODOS os PDVs que contêm 'Recife' no nome, independente da variação.
Também: contar SKUs da categoria Bebidas E com unidades &gt; 80.</t>
  </si>
  <si>
    <t xml:space="preserve">Tarefa</t>
  </si>
  <si>
    <t xml:space="preserve">Fórmula (com curinga *)</t>
  </si>
  <si>
    <t xml:space="preserve">Critério usado</t>
  </si>
  <si>
    <t xml:space="preserve">Contar PDVs com 'Recife' no nome</t>
  </si>
  <si>
    <t xml:space="preserve">"*Recife*"</t>
  </si>
  <si>
    <t xml:space="preserve">Ver resultado</t>
  </si>
  <si>
    <t xml:space="preserve">Contar PDVs que COMEÇAM com 'Recife'</t>
  </si>
  <si>
    <t xml:space="preserve">"Recife*"</t>
  </si>
  <si>
    <t xml:space="preserve">Contar SKUs de Bebidas com Unid. &gt; 80</t>
  </si>
  <si>
    <t xml:space="preserve">"Bebidas" + &gt;80</t>
  </si>
  <si>
    <t xml:space="preserve">Somar Unid. de SKUs com 'SKU-00*'</t>
  </si>
  <si>
    <t xml:space="preserve">"SKU-00*" curinga</t>
  </si>
  <si>
    <t xml:space="preserve">🎯  Desafio Final — Dashboard de Sell-out CX Trade (Q1 2025)</t>
  </si>
  <si>
    <t xml:space="preserve">Objetivo: construir um mini dashboard completo usando todas as fórmulas aprendidas. Cada seção tem uma instrução. Não há limite — use a criatividade e combine fórmulas!
Dados em '🗄️ BASE_VENDAS' (C=Filial, D=Região, E=Produto, F=SKU, G=Cat, H=Unid, I=Preço, J=Receita, K=Meta, L=%Meta)</t>
  </si>
  <si>
    <t xml:space="preserve">📊  Bloco A — KPIs Gerais do Período (use AGREGAR)</t>
  </si>
  <si>
    <t xml:space="preserve">KPI</t>
  </si>
  <si>
    <t xml:space="preserve">Resultado</t>
  </si>
  <si>
    <t xml:space="preserve">Total de Unidades Vendidas</t>
  </si>
  <si>
    <t xml:space="preserve">Total de Receita (R$)</t>
  </si>
  <si>
    <t xml:space="preserve">Média de Unidades por Venda</t>
  </si>
  <si>
    <t xml:space="preserve">Maior venda (Unidades)</t>
  </si>
  <si>
    <t xml:space="preserve">Menor venda (Unidades)</t>
  </si>
  <si>
    <t xml:space="preserve">PDVs que bateram meta (&gt;100%)</t>
  </si>
  <si>
    <t xml:space="preserve">🏆  Bloco B — Ranking de Filiais por Receita (SOMASES + ÚNICO + CLASSIFICAR)</t>
  </si>
  <si>
    <t xml:space="preserve">Passo 1 (B15): ÚNICO nas filiais  |  Passo 2 (C15): SOMASES somando receita por filial com B15#  |  Passo 3 (E15): CLASSIFICAR o intervalo B15:C15 pela coluna 2 (receita) em ordem decrescente.</t>
  </si>
  <si>
    <t xml:space="preserve">Filial (ÚNICO)</t>
  </si>
  <si>
    <t xml:space="preserve">Receita Total</t>
  </si>
  <si>
    <t xml:space="preserve">Filial Ordenada (CLASSIFICAR)</t>
  </si>
  <si>
    <t xml:space="preserve">Receita</t>
  </si>
  <si>
    <t xml:space="preserve">→</t>
  </si>
  <si>
    <t xml:space="preserve">🔍  Bloco C — Ficha do SKU: busca com PROCX + SEERRO + SE</t>
  </si>
  <si>
    <t xml:space="preserve">Mude o SKU em C27 e todas as informações atualizam automaticamente! Use PROCX para puxar Nome, Categoria, Preço e Status. Use SEERRO para tratar SKU inválido. Use SOMASES para calcular o total de unidades vendidas daquele SKU na base.</t>
  </si>
  <si>
    <t xml:space="preserve">🔎  SKU consultado:</t>
  </si>
  <si>
    <t xml:space="preserve">Nome do Produto</t>
  </si>
  <si>
    <t xml:space="preserve">Preço Tabelado</t>
  </si>
  <si>
    <t xml:space="preserve">Status</t>
  </si>
  <si>
    <t xml:space="preserve">Total Unid. Q1</t>
  </si>
  <si>
    <t xml:space="preserve">Total Receita Q1</t>
  </si>
  <si>
    <t xml:space="preserve">⚠️  Bloco D — Alerta de PDVs Abaixo da Meta (FILTRO + SE)</t>
  </si>
  <si>
    <t xml:space="preserve">Tarefa: use FILTRO para listar apenas os PDVs onde %Meta (coluna L) &lt; 1 (ou seja, &lt; 100%).
Retorne: Filial, Produto, Unid. Vendidas, Meta e %Meta. Use SE para adicionar rótulo de urgência.</t>
  </si>
  <si>
    <t xml:space="preserve">Unid.</t>
  </si>
  <si>
    <t xml:space="preserve">Meta</t>
  </si>
  <si>
    <t xml:space="preserve">✅  GABARITO — Fórmulas Corretas  |  Abra só depois de tentar!</t>
  </si>
  <si>
    <t xml:space="preserve">⚠️  SPOILER! Tente resolver os exercícios primeiro. As fórmulas aqui usam referências às abas de dados — copie e cole nas células amarelas dos exercícios.</t>
  </si>
  <si>
    <t xml:space="preserve">EX1 · PROCX</t>
  </si>
  <si>
    <t xml:space="preserve">Exercício</t>
  </si>
  <si>
    <t xml:space="preserve">Fórmula Correta</t>
  </si>
  <si>
    <t xml:space="preserve">1.1 — Retornar NOME do produto (ex: linha 10)</t>
  </si>
  <si>
    <t xml:space="preserve"> =procx(B10,'🏷️ CADASTRO_SKU'!$B$3:$B$9,'🏷️ CADASTRO_SKU'!$C$3:$C$9)</t>
  </si>
  <si>
    <t xml:space="preserve">Busca B10 na col B do cadastro, retorna col C (Nome)</t>
  </si>
  <si>
    <t xml:space="preserve">1.1 — Retornar PREÇO do produto</t>
  </si>
  <si>
    <t xml:space="preserve"> =procx(B10,'🏷️ CADASTRO_SKU'!$B$3:$B$9,'🏷️ CADASTRO_SKU'!$E$3:$E$9)</t>
  </si>
  <si>
    <t xml:space="preserve">Retorna col E (Preço Tabelado)</t>
  </si>
  <si>
    <t xml:space="preserve">1.2 — Com tratamento de não encontrado</t>
  </si>
  <si>
    <t xml:space="preserve"> =procx(B20,'🏷️ CADASTRO_SKU'!$B$3:$B$9,'🏷️ CADASTRO_SKU'!$C$3:$C$9,"Produto não cadastrado")</t>
  </si>
  <si>
    <t xml:space="preserve">4º argumento evita o #NA</t>
  </si>
  <si>
    <t xml:space="preserve">1.2 — Status Ativo (col G do cadastro)</t>
  </si>
  <si>
    <t xml:space="preserve"> =procx(B20,'🏷️ CADASTRO_SKU'!$B$3:$B$9,'🏷️ CADASTRO_SKU'!$G$3:$G$9,"—")</t>
  </si>
  <si>
    <t xml:space="preserve">Retorna SIM ou NÃO</t>
  </si>
  <si>
    <t xml:space="preserve">1.3 — Múltiplas colunas de uma vez</t>
  </si>
  <si>
    <t xml:space="preserve"> =procx(B27,'🏷️ CADASTRO_SKU'!$B$3:$B$9,'🏷️ CADASTRO_SKU'!$C$3:$F$9,"N/A")</t>
  </si>
  <si>
    <t xml:space="preserve">Retorna colunas C, D, E e F juntas (spill →)</t>
  </si>
  <si>
    <t xml:space="preserve">EX2 · ARRAYS DINÂMICOS</t>
  </si>
  <si>
    <t xml:space="preserve">2.1 — FILTRO região = Recife</t>
  </si>
  <si>
    <t xml:space="preserve"> =filtro('🗄️ BASE_VENDAS'!C3:H37,'🗄️ BASE_VENDAS'!D3:D37="Recife","Sem resultados")</t>
  </si>
  <si>
    <t xml:space="preserve">Retorna 6 colunas (C a H) para todas as linhas de Recife</t>
  </si>
  <si>
    <t xml:space="preserve">2.2 — FILTRO duplo (Grande Recife E Unid &gt; 100)</t>
  </si>
  <si>
    <t xml:space="preserve"> =filtro('🗄️ BASE_VENDAS'!C3:L37,('🗄️ BASE_VENDAS'!D3:D37="Grande Recife")*('🗄️ BASE_VENDAS'!H3:H37&gt;100),"Nenhum")</t>
  </si>
  <si>
    <t xml:space="preserve">* entre parênteses = E lógico</t>
  </si>
  <si>
    <t xml:space="preserve">2.3A — Filiais únicas</t>
  </si>
  <si>
    <t xml:space="preserve"> =único('🗄️ BASE_VENDAS'!C3:C37)</t>
  </si>
  <si>
    <t xml:space="preserve">Derrama lista sem duplicata</t>
  </si>
  <si>
    <t xml:space="preserve">2.3B — Filiais únicas ordenadas AZ</t>
  </si>
  <si>
    <t xml:space="preserve"> =classificar(único('🗄️ BASE_VENDAS'!C3:C37))</t>
  </si>
  <si>
    <t xml:space="preserve">CLASSIFICAR sem 2º arg = crescente padrão</t>
  </si>
  <si>
    <t xml:space="preserve">2.3C — Produtos únicos desc. (Z→A)</t>
  </si>
  <si>
    <t xml:space="preserve"> =classificar(único('🗄️ BASE_VENDAS'!E3:E37),1,-1)</t>
  </si>
  <si>
    <t xml:space="preserve">Terceiro arg -1 = decrescente</t>
  </si>
  <si>
    <t xml:space="preserve">EX3 · AGREGAR &amp; SOMASES</t>
  </si>
  <si>
    <t xml:space="preserve">3.1 — Soma Unid. ignorando ocultos</t>
  </si>
  <si>
    <t xml:space="preserve"> =agregar(9,5,'🗄️ BASE_VENDAS'!H3:H37)</t>
  </si>
  <si>
    <t xml:space="preserve">9=SOMA, 5=ignora ocultos por filtro</t>
  </si>
  <si>
    <t xml:space="preserve">3.1 — Média ignorando erros</t>
  </si>
  <si>
    <t xml:space="preserve"> =agregar(1,6,'🗄️ BASE_VENDAS'!H3:H37)</t>
  </si>
  <si>
    <t xml:space="preserve">1=MÉDIA, 6=ignora erros #NA etc.</t>
  </si>
  <si>
    <t xml:space="preserve">3.1 — 2º maior valor</t>
  </si>
  <si>
    <t xml:space="preserve"> =agregar(14,6,'🗄️ BASE_VENDAS'!H3:H37,2)</t>
  </si>
  <si>
    <t xml:space="preserve">14=MAIOR, k=2 = segundo maior</t>
  </si>
  <si>
    <t xml:space="preserve">3.1 — Mínimo (ocultos + erros)</t>
  </si>
  <si>
    <t xml:space="preserve"> =agregar(5,7,'🗄️ BASE_VENDAS'!H3:H37)</t>
  </si>
  <si>
    <t xml:space="preserve">5=MÍN, 7=ignora ocultos E erros</t>
  </si>
  <si>
    <t xml:space="preserve">3.2 — Regiões únicas (passo 1)</t>
  </si>
  <si>
    <t xml:space="preserve"> =único('🗄️ BASE_VENDAS'!D3:D37)</t>
  </si>
  <si>
    <t xml:space="preserve">Array dinâmico — base do resumo</t>
  </si>
  <si>
    <t xml:space="preserve">3.2 — Total Unid. por região (passo 2)</t>
  </si>
  <si>
    <t xml:space="preserve"> =somases('🗄️ BASE_VENDAS'!H3:H37,'🗄️ BASE_VENDAS'!D3:D37,B20#))</t>
  </si>
  <si>
    <t xml:space="preserve">B20# usa todo o array derramado de B20</t>
  </si>
  <si>
    <t xml:space="preserve">3.2 — Total Receita por região</t>
  </si>
  <si>
    <t xml:space="preserve"> =somases('🗄️ BASE_VENDAS'!J3:J37,'🗄️ BASE_VENDAS'!D3:D37,B20#))</t>
  </si>
  <si>
    <t xml:space="preserve">Mesma lógica, soma coluna J (Receita)</t>
  </si>
  <si>
    <t xml:space="preserve">3.2 — Nº registros por região</t>
  </si>
  <si>
    <t xml:space="preserve"> =cont.ses('🗄️ BASE_VENDAS'!D3:D37,B20#))</t>
  </si>
  <si>
    <t xml:space="preserve">Conta linhas por categoria</t>
  </si>
  <si>
    <t xml:space="preserve">3.3 — PDVs com 'Recife' no nome</t>
  </si>
  <si>
    <t xml:space="preserve"> =cont.ses('🗄️ BASE_VENDAS'!C3:C37,"*Recife*")</t>
  </si>
  <si>
    <t xml:space="preserve">* antes e depois = contém</t>
  </si>
  <si>
    <t xml:space="preserve">3.3 — PDVs que começam com 'Recife'</t>
  </si>
  <si>
    <t xml:space="preserve"> =cont.ses('🗄️ BASE_VENDAS'!C3:C37,"Recife*")</t>
  </si>
  <si>
    <t xml:space="preserve">* só no fim = começa com</t>
  </si>
  <si>
    <t xml:space="preserve">3.3 — Bebidas com Unid. &gt; 80</t>
  </si>
  <si>
    <t xml:space="preserve"> =cont.ses('🗄️ BASE_VENDAS'!G3:G37,"Bebidas",'🗄️ BASE_VENDAS'!H3:H37,"&gt;80")</t>
  </si>
  <si>
    <t xml:space="preserve">Dois critérios simultaneamente</t>
  </si>
  <si>
    <t xml:space="preserve">3.3 — Soma Unid. SKUs com curinga</t>
  </si>
  <si>
    <t xml:space="preserve"> =somases('🗄️ BASE_VENDAS'!H3:H37,'🗄️ BASE_VENDAS'!F3:F37,"SKU-00*")</t>
  </si>
  <si>
    <t xml:space="preserve">Curinga no critério de SOMASES</t>
  </si>
  <si>
    <t xml:space="preserve">EX4 · DASHBOARD — Bloco C (Ficha SKU)</t>
  </si>
  <si>
    <t xml:space="preserve">Nome do produto (com SEERRO)</t>
  </si>
  <si>
    <t xml:space="preserve"> =seerro(procx(C27,'🏷️ CADASTRO_SKU'!$B$3:$B$9,'🏷️ CADASTRO_SKU'!$C$3:$C$9),"SKU inválido")</t>
  </si>
  <si>
    <t xml:space="preserve">SEERRO envolve o PROCX — captura qualquer erro</t>
  </si>
  <si>
    <t xml:space="preserve">Total Unidades vendidas do SKU</t>
  </si>
  <si>
    <t xml:space="preserve"> =somases('🗄️ BASE_VENDAS'!H3:H37,'🗄️ BASE_VENDAS'!F3:F37,C27)</t>
  </si>
  <si>
    <t xml:space="preserve">Soma na base onde SKU (col F) = C27</t>
  </si>
  <si>
    <t xml:space="preserve">Total Receita do SKU</t>
  </si>
  <si>
    <t xml:space="preserve"> =somases('🗄️ BASE_VENDAS'!J3:J37,'🗄️ BASE_VENDAS'!F3:F37,C27)</t>
  </si>
  <si>
    <t xml:space="preserve">Soma Receita (col J) onde SKU = C27</t>
  </si>
  <si>
    <t xml:space="preserve">Bloco D — PDVs abaixo da meta</t>
  </si>
  <si>
    <t xml:space="preserve"> =filtro('🗄️ BASE_VENDAS'!C3:L37,'🗄️ BASE_VENDAS'!L3:L37&lt;1,"Todos bateram a meta!")</t>
  </si>
  <si>
    <t xml:space="preserve">L = %Meta — filtra onde %Meta &lt; 1 (&lt; 100%)</t>
  </si>
  <si>
    <t xml:space="preserve">🏆  Se você chegou até aqui resolvendo tudo, está pronto para a entrevista da CX Trade. Script sugerido: 'Uso PROCX, FILTRO e AGREGAR no dia a dia — consigo construir dashboards dinâmicos que se atualizam sozinhos quando novos dados entram, sem precisar de tabela dinâmica ou macros.'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</si>
</sst>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%"/>
    <numFmt numFmtId="167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i val="true"/>
      <sz val="8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2E75B6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8"/>
      <color rgb="FF1F3864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i val="true"/>
      <sz val="8"/>
      <color rgb="FF375623"/>
      <name val="Calibri"/>
      <family val="0"/>
      <charset val="1"/>
    </font>
    <font>
      <i val="true"/>
      <sz val="7"/>
      <color rgb="FFAAAAAA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i val="true"/>
      <sz val="9"/>
      <color rgb="FF2E75B6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8"/>
      <color rgb="FF375623"/>
      <name val="Courier New"/>
      <family val="0"/>
      <charset val="1"/>
    </font>
    <font>
      <sz val="9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D966"/>
        <bgColor rgb="FFFFCCCC"/>
      </patternFill>
    </fill>
    <fill>
      <patternFill patternType="solid">
        <fgColor rgb="FFE2EFDA"/>
        <bgColor rgb="FFF2F2F2"/>
      </patternFill>
    </fill>
    <fill>
      <patternFill patternType="solid">
        <fgColor rgb="FFFFCCCC"/>
        <bgColor rgb="FFFFF2CC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55555"/>
      </patternFill>
    </fill>
    <fill>
      <patternFill patternType="solid">
        <fgColor rgb="FF70AD47"/>
        <bgColor rgb="FF88888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 diagonalUp="false" diagonalDown="false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D96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ED7D31"/>
      <rgbColor rgb="FF555555"/>
      <rgbColor rgb="FFAAAAAA"/>
      <rgbColor rgb="FF1F3864"/>
      <rgbColor rgb="FF70AD47"/>
      <rgbColor rgb="FF003300"/>
      <rgbColor rgb="FF375623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3"/>
  </cols>
  <sheetData>
    <row r="1" customFormat="false" ht="43.5" hidden="false" customHeight="true" outlineLevel="0" collapsed="false">
      <c r="B1" s="2" t="s">
        <v>0</v>
      </c>
      <c r="C1" s="2"/>
      <c r="D1" s="2"/>
    </row>
    <row r="2" customFormat="false" ht="21.75" hidden="false" customHeight="true" outlineLevel="0" collapsed="false">
      <c r="B2" s="3" t="s">
        <v>1</v>
      </c>
      <c r="C2" s="3"/>
      <c r="D2" s="3"/>
    </row>
    <row r="3" customFormat="false" ht="18" hidden="false" customHeight="true" outlineLevel="0" collapsed="false">
      <c r="B3" s="4" t="s">
        <v>2</v>
      </c>
      <c r="C3" s="4"/>
      <c r="D3" s="4"/>
    </row>
    <row r="4" customFormat="false" ht="7.5" hidden="false" customHeight="true" outlineLevel="0" collapsed="false"/>
    <row r="5" customFormat="false" ht="19.5" hidden="false" customHeight="true" outlineLevel="0" collapsed="false">
      <c r="B5" s="5" t="s">
        <v>3</v>
      </c>
      <c r="C5" s="5"/>
      <c r="D5" s="5"/>
    </row>
    <row r="6" customFormat="false" ht="15" hidden="false" customHeight="true" outlineLevel="0" collapsed="false">
      <c r="B6" s="6" t="s">
        <v>4</v>
      </c>
      <c r="C6" s="6" t="s">
        <v>5</v>
      </c>
      <c r="D6" s="6" t="s">
        <v>6</v>
      </c>
    </row>
    <row r="7" customFormat="false" ht="18" hidden="false" customHeight="true" outlineLevel="0" collapsed="false">
      <c r="B7" s="7" t="s">
        <v>7</v>
      </c>
      <c r="C7" s="8" t="s">
        <v>8</v>
      </c>
      <c r="D7" s="9" t="s">
        <v>9</v>
      </c>
    </row>
    <row r="8" customFormat="false" ht="18" hidden="false" customHeight="true" outlineLevel="0" collapsed="false">
      <c r="B8" s="10" t="s">
        <v>10</v>
      </c>
      <c r="C8" s="11" t="s">
        <v>11</v>
      </c>
      <c r="D8" s="12" t="s">
        <v>12</v>
      </c>
    </row>
    <row r="9" customFormat="false" ht="18" hidden="false" customHeight="true" outlineLevel="0" collapsed="false">
      <c r="B9" s="7" t="s">
        <v>13</v>
      </c>
      <c r="C9" s="8" t="s">
        <v>14</v>
      </c>
      <c r="D9" s="9" t="s">
        <v>15</v>
      </c>
    </row>
    <row r="10" customFormat="false" ht="18" hidden="false" customHeight="true" outlineLevel="0" collapsed="false">
      <c r="B10" s="10" t="s">
        <v>16</v>
      </c>
      <c r="C10" s="11" t="s">
        <v>17</v>
      </c>
      <c r="D10" s="12" t="s">
        <v>18</v>
      </c>
    </row>
    <row r="11" customFormat="false" ht="18" hidden="false" customHeight="true" outlineLevel="0" collapsed="false">
      <c r="B11" s="7" t="s">
        <v>19</v>
      </c>
      <c r="C11" s="8" t="s">
        <v>20</v>
      </c>
      <c r="D11" s="9" t="s">
        <v>21</v>
      </c>
    </row>
    <row r="12" customFormat="false" ht="18" hidden="false" customHeight="true" outlineLevel="0" collapsed="false">
      <c r="B12" s="10" t="s">
        <v>22</v>
      </c>
      <c r="C12" s="11" t="s">
        <v>23</v>
      </c>
      <c r="D12" s="12" t="s">
        <v>24</v>
      </c>
    </row>
    <row r="13" customFormat="false" ht="18" hidden="false" customHeight="true" outlineLevel="0" collapsed="false">
      <c r="B13" s="7" t="s">
        <v>25</v>
      </c>
      <c r="C13" s="8" t="s">
        <v>26</v>
      </c>
      <c r="D13" s="9" t="s">
        <v>27</v>
      </c>
    </row>
    <row r="14" customFormat="false" ht="9.75" hidden="false" customHeight="true" outlineLevel="0" collapsed="false"/>
    <row r="15" customFormat="false" ht="19.5" hidden="false" customHeight="true" outlineLevel="0" collapsed="false">
      <c r="B15" s="5" t="s">
        <v>28</v>
      </c>
      <c r="C15" s="5"/>
      <c r="D15" s="5"/>
    </row>
    <row r="16" customFormat="false" ht="15.75" hidden="false" customHeight="true" outlineLevel="0" collapsed="false">
      <c r="B16" s="13"/>
      <c r="C16" s="14" t="s">
        <v>29</v>
      </c>
      <c r="D16" s="15" t="s">
        <v>30</v>
      </c>
    </row>
    <row r="17" customFormat="false" ht="15.75" hidden="false" customHeight="true" outlineLevel="0" collapsed="false">
      <c r="B17" s="16"/>
      <c r="C17" s="14" t="s">
        <v>31</v>
      </c>
      <c r="D17" s="15" t="s">
        <v>32</v>
      </c>
    </row>
    <row r="18" customFormat="false" ht="15.75" hidden="false" customHeight="true" outlineLevel="0" collapsed="false">
      <c r="B18" s="17"/>
      <c r="C18" s="14" t="s">
        <v>33</v>
      </c>
      <c r="D18" s="15" t="s">
        <v>34</v>
      </c>
    </row>
    <row r="19" customFormat="false" ht="15.75" hidden="false" customHeight="true" outlineLevel="0" collapsed="false">
      <c r="B19" s="18"/>
      <c r="C19" s="14" t="s">
        <v>35</v>
      </c>
      <c r="D19" s="15" t="s">
        <v>36</v>
      </c>
    </row>
    <row r="20" customFormat="false" ht="15.75" hidden="false" customHeight="true" outlineLevel="0" collapsed="false">
      <c r="B20" s="19"/>
      <c r="C20" s="14" t="s">
        <v>37</v>
      </c>
      <c r="D20" s="15" t="s">
        <v>38</v>
      </c>
    </row>
    <row r="21" customFormat="false" ht="9.75" hidden="false" customHeight="true" outlineLevel="0" collapsed="false"/>
    <row r="22" customFormat="false" ht="19.5" hidden="false" customHeight="true" outlineLevel="0" collapsed="false">
      <c r="B22" s="20" t="s">
        <v>39</v>
      </c>
      <c r="C22" s="20"/>
      <c r="D22" s="20"/>
    </row>
    <row r="23" customFormat="false" ht="15.75" hidden="false" customHeight="true" outlineLevel="0" collapsed="false">
      <c r="B23" s="21" t="s">
        <v>40</v>
      </c>
      <c r="C23" s="21"/>
      <c r="D23" s="21"/>
    </row>
    <row r="24" customFormat="false" ht="15.75" hidden="false" customHeight="true" outlineLevel="0" collapsed="false">
      <c r="B24" s="21" t="s">
        <v>41</v>
      </c>
      <c r="C24" s="21"/>
      <c r="D24" s="21"/>
    </row>
    <row r="25" customFormat="false" ht="15.75" hidden="false" customHeight="true" outlineLevel="0" collapsed="false">
      <c r="B25" s="21" t="s">
        <v>42</v>
      </c>
      <c r="C25" s="21"/>
      <c r="D25" s="21"/>
    </row>
    <row r="26" customFormat="false" ht="15.75" hidden="false" customHeight="true" outlineLevel="0" collapsed="false">
      <c r="B26" s="21" t="s">
        <v>43</v>
      </c>
      <c r="C26" s="21"/>
      <c r="D26" s="21"/>
    </row>
    <row r="27" customFormat="false" ht="15.75" hidden="false" customHeight="true" outlineLevel="0" collapsed="false">
      <c r="B27" s="21" t="s">
        <v>44</v>
      </c>
      <c r="C27" s="21"/>
      <c r="D27" s="21"/>
    </row>
  </sheetData>
  <mergeCells count="11">
    <mergeCell ref="B1:D1"/>
    <mergeCell ref="B2:D2"/>
    <mergeCell ref="B3:D3"/>
    <mergeCell ref="B5:D5"/>
    <mergeCell ref="B15:D15"/>
    <mergeCell ref="B22:D22"/>
    <mergeCell ref="B23:D23"/>
    <mergeCell ref="B24:D24"/>
    <mergeCell ref="B25:D25"/>
    <mergeCell ref="B26:D2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10" min="9" style="1" width="11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25.5" hidden="false" customHeight="true" outlineLevel="0" collapsed="false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19.5" hidden="false" customHeight="true" outlineLevel="0" collapsed="false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6" t="s">
        <v>57</v>
      </c>
    </row>
    <row r="3" customFormat="false" ht="15.75" hidden="false" customHeight="true" outlineLevel="0" collapsed="false">
      <c r="A3" s="23" t="n">
        <v>1</v>
      </c>
      <c r="B3" s="24" t="s">
        <v>58</v>
      </c>
      <c r="C3" s="8" t="s">
        <v>59</v>
      </c>
      <c r="D3" s="8" t="s">
        <v>60</v>
      </c>
      <c r="E3" s="8" t="s">
        <v>61</v>
      </c>
      <c r="F3" s="7" t="s">
        <v>62</v>
      </c>
      <c r="G3" s="23" t="s">
        <v>63</v>
      </c>
      <c r="H3" s="23" t="n">
        <v>120</v>
      </c>
      <c r="I3" s="25" t="n">
        <v>8.5</v>
      </c>
      <c r="J3" s="25" t="n">
        <f aca="false">H3*I3</f>
        <v>1020</v>
      </c>
      <c r="K3" s="23" t="n">
        <v>100</v>
      </c>
      <c r="L3" s="26" t="n">
        <f aca="false">H3/K3</f>
        <v>1.2</v>
      </c>
    </row>
    <row r="4" customFormat="false" ht="15.75" hidden="false" customHeight="true" outlineLevel="0" collapsed="false">
      <c r="A4" s="27" t="n">
        <v>2</v>
      </c>
      <c r="B4" s="28" t="s">
        <v>64</v>
      </c>
      <c r="C4" s="11" t="s">
        <v>65</v>
      </c>
      <c r="D4" s="11" t="s">
        <v>60</v>
      </c>
      <c r="E4" s="11" t="s">
        <v>66</v>
      </c>
      <c r="F4" s="10" t="s">
        <v>67</v>
      </c>
      <c r="G4" s="27" t="s">
        <v>63</v>
      </c>
      <c r="H4" s="27" t="n">
        <v>85</v>
      </c>
      <c r="I4" s="29" t="n">
        <v>5</v>
      </c>
      <c r="J4" s="29" t="n">
        <f aca="false">H4*I4</f>
        <v>425</v>
      </c>
      <c r="K4" s="27" t="n">
        <v>100</v>
      </c>
      <c r="L4" s="30" t="n">
        <f aca="false">H4/K4</f>
        <v>0.85</v>
      </c>
    </row>
    <row r="5" customFormat="false" ht="15.75" hidden="false" customHeight="true" outlineLevel="0" collapsed="false">
      <c r="A5" s="23" t="n">
        <v>3</v>
      </c>
      <c r="B5" s="24" t="s">
        <v>68</v>
      </c>
      <c r="C5" s="8" t="s">
        <v>69</v>
      </c>
      <c r="D5" s="8" t="s">
        <v>70</v>
      </c>
      <c r="E5" s="8" t="s">
        <v>71</v>
      </c>
      <c r="F5" s="7" t="s">
        <v>72</v>
      </c>
      <c r="G5" s="23" t="s">
        <v>63</v>
      </c>
      <c r="H5" s="23" t="n">
        <v>200</v>
      </c>
      <c r="I5" s="25" t="n">
        <v>2.5</v>
      </c>
      <c r="J5" s="25" t="n">
        <f aca="false">H5*I5</f>
        <v>500</v>
      </c>
      <c r="K5" s="23" t="n">
        <v>90</v>
      </c>
      <c r="L5" s="26" t="n">
        <f aca="false">H5/K5</f>
        <v>2.22222222222222</v>
      </c>
    </row>
    <row r="6" customFormat="false" ht="15.75" hidden="false" customHeight="true" outlineLevel="0" collapsed="false">
      <c r="A6" s="27" t="n">
        <v>4</v>
      </c>
      <c r="B6" s="28" t="s">
        <v>73</v>
      </c>
      <c r="C6" s="11" t="s">
        <v>74</v>
      </c>
      <c r="D6" s="11" t="s">
        <v>75</v>
      </c>
      <c r="E6" s="11" t="s">
        <v>76</v>
      </c>
      <c r="F6" s="10" t="s">
        <v>77</v>
      </c>
      <c r="G6" s="27" t="s">
        <v>63</v>
      </c>
      <c r="H6" s="27" t="n">
        <v>60</v>
      </c>
      <c r="I6" s="29" t="n">
        <v>6</v>
      </c>
      <c r="J6" s="29" t="n">
        <f aca="false">H6*I6</f>
        <v>360</v>
      </c>
      <c r="K6" s="27" t="n">
        <v>80</v>
      </c>
      <c r="L6" s="30" t="n">
        <f aca="false">H6/K6</f>
        <v>0.75</v>
      </c>
    </row>
    <row r="7" customFormat="false" ht="15.75" hidden="false" customHeight="true" outlineLevel="0" collapsed="false">
      <c r="A7" s="23" t="n">
        <v>5</v>
      </c>
      <c r="B7" s="24" t="s">
        <v>78</v>
      </c>
      <c r="C7" s="8" t="s">
        <v>79</v>
      </c>
      <c r="D7" s="8" t="s">
        <v>60</v>
      </c>
      <c r="E7" s="8" t="s">
        <v>80</v>
      </c>
      <c r="F7" s="7" t="s">
        <v>81</v>
      </c>
      <c r="G7" s="23" t="s">
        <v>63</v>
      </c>
      <c r="H7" s="23" t="n">
        <v>45</v>
      </c>
      <c r="I7" s="25" t="n">
        <v>9.9</v>
      </c>
      <c r="J7" s="25" t="n">
        <f aca="false">H7*I7</f>
        <v>445.5</v>
      </c>
      <c r="K7" s="23" t="n">
        <v>100</v>
      </c>
      <c r="L7" s="26" t="n">
        <f aca="false">H7/K7</f>
        <v>0.45</v>
      </c>
    </row>
    <row r="8" customFormat="false" ht="15.75" hidden="false" customHeight="true" outlineLevel="0" collapsed="false">
      <c r="A8" s="27" t="n">
        <v>6</v>
      </c>
      <c r="B8" s="28" t="s">
        <v>82</v>
      </c>
      <c r="C8" s="11" t="s">
        <v>83</v>
      </c>
      <c r="D8" s="11" t="s">
        <v>70</v>
      </c>
      <c r="E8" s="11" t="s">
        <v>61</v>
      </c>
      <c r="F8" s="10" t="s">
        <v>62</v>
      </c>
      <c r="G8" s="27" t="s">
        <v>63</v>
      </c>
      <c r="H8" s="27" t="n">
        <v>95</v>
      </c>
      <c r="I8" s="29" t="n">
        <v>8.5</v>
      </c>
      <c r="J8" s="29" t="n">
        <f aca="false">H8*I8</f>
        <v>807.5</v>
      </c>
      <c r="K8" s="27" t="n">
        <v>90</v>
      </c>
      <c r="L8" s="30" t="n">
        <f aca="false">H8/K8</f>
        <v>1.05555555555556</v>
      </c>
    </row>
    <row r="9" customFormat="false" ht="15.75" hidden="false" customHeight="true" outlineLevel="0" collapsed="false">
      <c r="A9" s="23" t="n">
        <v>7</v>
      </c>
      <c r="B9" s="24" t="s">
        <v>84</v>
      </c>
      <c r="C9" s="8" t="s">
        <v>85</v>
      </c>
      <c r="D9" s="8" t="s">
        <v>70</v>
      </c>
      <c r="E9" s="8" t="s">
        <v>86</v>
      </c>
      <c r="F9" s="7" t="s">
        <v>87</v>
      </c>
      <c r="G9" s="23" t="s">
        <v>88</v>
      </c>
      <c r="H9" s="23" t="n">
        <v>80</v>
      </c>
      <c r="I9" s="25" t="n">
        <v>3.5</v>
      </c>
      <c r="J9" s="25" t="n">
        <f aca="false">H9*I9</f>
        <v>280</v>
      </c>
      <c r="K9" s="23" t="n">
        <v>90</v>
      </c>
      <c r="L9" s="26" t="n">
        <f aca="false">H9/K9</f>
        <v>0.888888888888889</v>
      </c>
    </row>
    <row r="10" customFormat="false" ht="15.75" hidden="false" customHeight="true" outlineLevel="0" collapsed="false">
      <c r="A10" s="27" t="n">
        <v>8</v>
      </c>
      <c r="B10" s="28" t="s">
        <v>89</v>
      </c>
      <c r="C10" s="11" t="s">
        <v>74</v>
      </c>
      <c r="D10" s="11" t="s">
        <v>75</v>
      </c>
      <c r="E10" s="11" t="s">
        <v>61</v>
      </c>
      <c r="F10" s="10" t="s">
        <v>62</v>
      </c>
      <c r="G10" s="27" t="s">
        <v>63</v>
      </c>
      <c r="H10" s="27" t="n">
        <v>110</v>
      </c>
      <c r="I10" s="29" t="n">
        <v>8.5</v>
      </c>
      <c r="J10" s="29" t="n">
        <f aca="false">H10*I10</f>
        <v>935</v>
      </c>
      <c r="K10" s="27" t="n">
        <v>80</v>
      </c>
      <c r="L10" s="30" t="n">
        <f aca="false">H10/K10</f>
        <v>1.375</v>
      </c>
    </row>
    <row r="11" customFormat="false" ht="15.75" hidden="false" customHeight="true" outlineLevel="0" collapsed="false">
      <c r="A11" s="23" t="n">
        <v>9</v>
      </c>
      <c r="B11" s="24" t="s">
        <v>90</v>
      </c>
      <c r="C11" s="8" t="s">
        <v>59</v>
      </c>
      <c r="D11" s="8" t="s">
        <v>60</v>
      </c>
      <c r="E11" s="8" t="s">
        <v>66</v>
      </c>
      <c r="F11" s="7" t="s">
        <v>67</v>
      </c>
      <c r="G11" s="23" t="s">
        <v>63</v>
      </c>
      <c r="H11" s="23" t="n">
        <v>70</v>
      </c>
      <c r="I11" s="25" t="n">
        <v>5</v>
      </c>
      <c r="J11" s="25" t="n">
        <f aca="false">H11*I11</f>
        <v>350</v>
      </c>
      <c r="K11" s="23" t="n">
        <v>100</v>
      </c>
      <c r="L11" s="26" t="n">
        <f aca="false">H11/K11</f>
        <v>0.7</v>
      </c>
    </row>
    <row r="12" customFormat="false" ht="15.75" hidden="false" customHeight="true" outlineLevel="0" collapsed="false">
      <c r="A12" s="27" t="n">
        <v>10</v>
      </c>
      <c r="B12" s="28" t="s">
        <v>91</v>
      </c>
      <c r="C12" s="11" t="s">
        <v>69</v>
      </c>
      <c r="D12" s="11" t="s">
        <v>70</v>
      </c>
      <c r="E12" s="11" t="s">
        <v>76</v>
      </c>
      <c r="F12" s="10" t="s">
        <v>77</v>
      </c>
      <c r="G12" s="27" t="s">
        <v>63</v>
      </c>
      <c r="H12" s="27" t="n">
        <v>55</v>
      </c>
      <c r="I12" s="29" t="n">
        <v>6</v>
      </c>
      <c r="J12" s="29" t="n">
        <f aca="false">H12*I12</f>
        <v>330</v>
      </c>
      <c r="K12" s="27" t="n">
        <v>90</v>
      </c>
      <c r="L12" s="30" t="n">
        <f aca="false">H12/K12</f>
        <v>0.611111111111111</v>
      </c>
    </row>
    <row r="13" customFormat="false" ht="15.75" hidden="false" customHeight="true" outlineLevel="0" collapsed="false">
      <c r="A13" s="23" t="n">
        <v>11</v>
      </c>
      <c r="B13" s="24" t="s">
        <v>58</v>
      </c>
      <c r="C13" s="8" t="s">
        <v>59</v>
      </c>
      <c r="D13" s="8" t="s">
        <v>60</v>
      </c>
      <c r="E13" s="8" t="s">
        <v>80</v>
      </c>
      <c r="F13" s="7" t="s">
        <v>81</v>
      </c>
      <c r="G13" s="23" t="s">
        <v>63</v>
      </c>
      <c r="H13" s="23" t="n">
        <v>30</v>
      </c>
      <c r="I13" s="25" t="n">
        <v>9.9</v>
      </c>
      <c r="J13" s="25" t="n">
        <f aca="false">H13*I13</f>
        <v>297</v>
      </c>
      <c r="K13" s="23" t="n">
        <v>100</v>
      </c>
      <c r="L13" s="26" t="n">
        <f aca="false">H13/K13</f>
        <v>0.3</v>
      </c>
    </row>
    <row r="14" customFormat="false" ht="15.75" hidden="false" customHeight="true" outlineLevel="0" collapsed="false">
      <c r="A14" s="27" t="n">
        <v>12</v>
      </c>
      <c r="B14" s="28" t="s">
        <v>92</v>
      </c>
      <c r="C14" s="11" t="s">
        <v>65</v>
      </c>
      <c r="D14" s="11" t="s">
        <v>60</v>
      </c>
      <c r="E14" s="11" t="s">
        <v>71</v>
      </c>
      <c r="F14" s="10" t="s">
        <v>72</v>
      </c>
      <c r="G14" s="27" t="s">
        <v>63</v>
      </c>
      <c r="H14" s="27" t="n">
        <v>180</v>
      </c>
      <c r="I14" s="29" t="n">
        <v>2.5</v>
      </c>
      <c r="J14" s="29" t="n">
        <f aca="false">H14*I14</f>
        <v>450</v>
      </c>
      <c r="K14" s="27" t="n">
        <v>100</v>
      </c>
      <c r="L14" s="30" t="n">
        <f aca="false">H14/K14</f>
        <v>1.8</v>
      </c>
    </row>
    <row r="15" customFormat="false" ht="15.75" hidden="false" customHeight="true" outlineLevel="0" collapsed="false">
      <c r="A15" s="23" t="n">
        <v>13</v>
      </c>
      <c r="B15" s="24" t="s">
        <v>93</v>
      </c>
      <c r="C15" s="8" t="s">
        <v>74</v>
      </c>
      <c r="D15" s="8" t="s">
        <v>75</v>
      </c>
      <c r="E15" s="8" t="s">
        <v>86</v>
      </c>
      <c r="F15" s="7" t="s">
        <v>87</v>
      </c>
      <c r="G15" s="23" t="s">
        <v>88</v>
      </c>
      <c r="H15" s="23" t="n">
        <v>65</v>
      </c>
      <c r="I15" s="25" t="n">
        <v>3.5</v>
      </c>
      <c r="J15" s="25" t="n">
        <f aca="false">H15*I15</f>
        <v>227.5</v>
      </c>
      <c r="K15" s="23" t="n">
        <v>80</v>
      </c>
      <c r="L15" s="26" t="n">
        <f aca="false">H15/K15</f>
        <v>0.8125</v>
      </c>
    </row>
    <row r="16" customFormat="false" ht="15.75" hidden="false" customHeight="true" outlineLevel="0" collapsed="false">
      <c r="A16" s="27" t="n">
        <v>14</v>
      </c>
      <c r="B16" s="28" t="s">
        <v>94</v>
      </c>
      <c r="C16" s="11" t="s">
        <v>83</v>
      </c>
      <c r="D16" s="11" t="s">
        <v>70</v>
      </c>
      <c r="E16" s="11" t="s">
        <v>66</v>
      </c>
      <c r="F16" s="10" t="s">
        <v>67</v>
      </c>
      <c r="G16" s="27" t="s">
        <v>63</v>
      </c>
      <c r="H16" s="27" t="n">
        <v>90</v>
      </c>
      <c r="I16" s="29" t="n">
        <v>5</v>
      </c>
      <c r="J16" s="29" t="n">
        <f aca="false">H16*I16</f>
        <v>450</v>
      </c>
      <c r="K16" s="27" t="n">
        <v>90</v>
      </c>
      <c r="L16" s="30" t="n">
        <f aca="false">H16/K16</f>
        <v>1</v>
      </c>
    </row>
    <row r="17" customFormat="false" ht="15.75" hidden="false" customHeight="true" outlineLevel="0" collapsed="false">
      <c r="A17" s="23" t="n">
        <v>15</v>
      </c>
      <c r="B17" s="24" t="s">
        <v>95</v>
      </c>
      <c r="C17" s="8" t="s">
        <v>79</v>
      </c>
      <c r="D17" s="8" t="s">
        <v>60</v>
      </c>
      <c r="E17" s="8" t="s">
        <v>61</v>
      </c>
      <c r="F17" s="7" t="s">
        <v>62</v>
      </c>
      <c r="G17" s="23" t="s">
        <v>63</v>
      </c>
      <c r="H17" s="23" t="n">
        <v>105</v>
      </c>
      <c r="I17" s="25" t="n">
        <v>8.5</v>
      </c>
      <c r="J17" s="25" t="n">
        <f aca="false">H17*I17</f>
        <v>892.5</v>
      </c>
      <c r="K17" s="23" t="n">
        <v>100</v>
      </c>
      <c r="L17" s="26" t="n">
        <f aca="false">H17/K17</f>
        <v>1.05</v>
      </c>
    </row>
    <row r="18" customFormat="false" ht="15.75" hidden="false" customHeight="true" outlineLevel="0" collapsed="false">
      <c r="A18" s="27" t="n">
        <v>16</v>
      </c>
      <c r="B18" s="28" t="s">
        <v>96</v>
      </c>
      <c r="C18" s="11" t="s">
        <v>85</v>
      </c>
      <c r="D18" s="11" t="s">
        <v>70</v>
      </c>
      <c r="E18" s="11" t="s">
        <v>80</v>
      </c>
      <c r="F18" s="10" t="s">
        <v>81</v>
      </c>
      <c r="G18" s="27" t="s">
        <v>63</v>
      </c>
      <c r="H18" s="27" t="n">
        <v>40</v>
      </c>
      <c r="I18" s="29" t="n">
        <v>9.9</v>
      </c>
      <c r="J18" s="29" t="n">
        <f aca="false">H18*I18</f>
        <v>396</v>
      </c>
      <c r="K18" s="27" t="n">
        <v>90</v>
      </c>
      <c r="L18" s="30" t="n">
        <f aca="false">H18/K18</f>
        <v>0.444444444444444</v>
      </c>
    </row>
    <row r="19" customFormat="false" ht="15.75" hidden="false" customHeight="true" outlineLevel="0" collapsed="false">
      <c r="A19" s="23" t="n">
        <v>17</v>
      </c>
      <c r="B19" s="24" t="s">
        <v>97</v>
      </c>
      <c r="C19" s="8" t="s">
        <v>69</v>
      </c>
      <c r="D19" s="8" t="s">
        <v>70</v>
      </c>
      <c r="E19" s="8" t="s">
        <v>61</v>
      </c>
      <c r="F19" s="7" t="s">
        <v>62</v>
      </c>
      <c r="G19" s="23" t="s">
        <v>63</v>
      </c>
      <c r="H19" s="23" t="n">
        <v>130</v>
      </c>
      <c r="I19" s="25" t="n">
        <v>8.5</v>
      </c>
      <c r="J19" s="25" t="n">
        <f aca="false">H19*I19</f>
        <v>1105</v>
      </c>
      <c r="K19" s="23" t="n">
        <v>90</v>
      </c>
      <c r="L19" s="26" t="n">
        <f aca="false">H19/K19</f>
        <v>1.44444444444444</v>
      </c>
    </row>
    <row r="20" customFormat="false" ht="15.75" hidden="false" customHeight="true" outlineLevel="0" collapsed="false">
      <c r="A20" s="27" t="n">
        <v>18</v>
      </c>
      <c r="B20" s="28" t="s">
        <v>98</v>
      </c>
      <c r="C20" s="11" t="s">
        <v>59</v>
      </c>
      <c r="D20" s="11" t="s">
        <v>60</v>
      </c>
      <c r="E20" s="11" t="s">
        <v>86</v>
      </c>
      <c r="F20" s="10" t="s">
        <v>87</v>
      </c>
      <c r="G20" s="27" t="s">
        <v>88</v>
      </c>
      <c r="H20" s="27" t="n">
        <v>55</v>
      </c>
      <c r="I20" s="29" t="n">
        <v>3.5</v>
      </c>
      <c r="J20" s="29" t="n">
        <f aca="false">H20*I20</f>
        <v>192.5</v>
      </c>
      <c r="K20" s="27" t="n">
        <v>100</v>
      </c>
      <c r="L20" s="30" t="n">
        <f aca="false">H20/K20</f>
        <v>0.55</v>
      </c>
    </row>
    <row r="21" customFormat="false" ht="15.75" hidden="false" customHeight="true" outlineLevel="0" collapsed="false">
      <c r="A21" s="23" t="n">
        <v>19</v>
      </c>
      <c r="B21" s="24" t="s">
        <v>99</v>
      </c>
      <c r="C21" s="8" t="s">
        <v>74</v>
      </c>
      <c r="D21" s="8" t="s">
        <v>75</v>
      </c>
      <c r="E21" s="8" t="s">
        <v>71</v>
      </c>
      <c r="F21" s="7" t="s">
        <v>72</v>
      </c>
      <c r="G21" s="23" t="s">
        <v>63</v>
      </c>
      <c r="H21" s="23" t="n">
        <v>220</v>
      </c>
      <c r="I21" s="25" t="n">
        <v>2.5</v>
      </c>
      <c r="J21" s="25" t="n">
        <f aca="false">H21*I21</f>
        <v>550</v>
      </c>
      <c r="K21" s="23" t="n">
        <v>80</v>
      </c>
      <c r="L21" s="26" t="n">
        <f aca="false">H21/K21</f>
        <v>2.75</v>
      </c>
    </row>
    <row r="22" customFormat="false" ht="15.75" hidden="false" customHeight="true" outlineLevel="0" collapsed="false">
      <c r="A22" s="27" t="n">
        <v>20</v>
      </c>
      <c r="B22" s="28" t="s">
        <v>100</v>
      </c>
      <c r="C22" s="11" t="s">
        <v>65</v>
      </c>
      <c r="D22" s="11" t="s">
        <v>60</v>
      </c>
      <c r="E22" s="11" t="s">
        <v>76</v>
      </c>
      <c r="F22" s="10" t="s">
        <v>77</v>
      </c>
      <c r="G22" s="27" t="s">
        <v>63</v>
      </c>
      <c r="H22" s="27" t="n">
        <v>75</v>
      </c>
      <c r="I22" s="29" t="n">
        <v>6</v>
      </c>
      <c r="J22" s="29" t="n">
        <f aca="false">H22*I22</f>
        <v>450</v>
      </c>
      <c r="K22" s="27" t="n">
        <v>100</v>
      </c>
      <c r="L22" s="30" t="n">
        <f aca="false">H22/K22</f>
        <v>0.75</v>
      </c>
    </row>
    <row r="23" customFormat="false" ht="15.75" hidden="false" customHeight="true" outlineLevel="0" collapsed="false">
      <c r="A23" s="23" t="n">
        <v>21</v>
      </c>
      <c r="B23" s="24" t="s">
        <v>101</v>
      </c>
      <c r="C23" s="8" t="s">
        <v>83</v>
      </c>
      <c r="D23" s="8" t="s">
        <v>70</v>
      </c>
      <c r="E23" s="8" t="s">
        <v>86</v>
      </c>
      <c r="F23" s="7" t="s">
        <v>87</v>
      </c>
      <c r="G23" s="23" t="s">
        <v>88</v>
      </c>
      <c r="H23" s="23" t="n">
        <v>90</v>
      </c>
      <c r="I23" s="25" t="n">
        <v>3.5</v>
      </c>
      <c r="J23" s="25" t="n">
        <f aca="false">H23*I23</f>
        <v>315</v>
      </c>
      <c r="K23" s="23" t="n">
        <v>90</v>
      </c>
      <c r="L23" s="26" t="n">
        <f aca="false">H23/K23</f>
        <v>1</v>
      </c>
    </row>
    <row r="24" customFormat="false" ht="15.75" hidden="false" customHeight="true" outlineLevel="0" collapsed="false">
      <c r="A24" s="27" t="n">
        <v>22</v>
      </c>
      <c r="B24" s="28" t="s">
        <v>102</v>
      </c>
      <c r="C24" s="11" t="s">
        <v>79</v>
      </c>
      <c r="D24" s="11" t="s">
        <v>60</v>
      </c>
      <c r="E24" s="11" t="s">
        <v>66</v>
      </c>
      <c r="F24" s="10" t="s">
        <v>67</v>
      </c>
      <c r="G24" s="27" t="s">
        <v>63</v>
      </c>
      <c r="H24" s="27" t="n">
        <v>100</v>
      </c>
      <c r="I24" s="29" t="n">
        <v>5</v>
      </c>
      <c r="J24" s="29" t="n">
        <f aca="false">H24*I24</f>
        <v>500</v>
      </c>
      <c r="K24" s="27" t="n">
        <v>100</v>
      </c>
      <c r="L24" s="30" t="n">
        <f aca="false">H24/K24</f>
        <v>1</v>
      </c>
    </row>
    <row r="25" customFormat="false" ht="15.75" hidden="false" customHeight="true" outlineLevel="0" collapsed="false">
      <c r="A25" s="23" t="n">
        <v>23</v>
      </c>
      <c r="B25" s="24" t="s">
        <v>103</v>
      </c>
      <c r="C25" s="8" t="s">
        <v>85</v>
      </c>
      <c r="D25" s="8" t="s">
        <v>70</v>
      </c>
      <c r="E25" s="8" t="s">
        <v>61</v>
      </c>
      <c r="F25" s="7" t="s">
        <v>62</v>
      </c>
      <c r="G25" s="23" t="s">
        <v>63</v>
      </c>
      <c r="H25" s="23" t="n">
        <v>115</v>
      </c>
      <c r="I25" s="25" t="n">
        <v>8.5</v>
      </c>
      <c r="J25" s="25" t="n">
        <f aca="false">H25*I25</f>
        <v>977.5</v>
      </c>
      <c r="K25" s="23" t="n">
        <v>90</v>
      </c>
      <c r="L25" s="26" t="n">
        <f aca="false">H25/K25</f>
        <v>1.27777777777778</v>
      </c>
    </row>
    <row r="26" customFormat="false" ht="15.75" hidden="false" customHeight="true" outlineLevel="0" collapsed="false">
      <c r="A26" s="27" t="n">
        <v>24</v>
      </c>
      <c r="B26" s="28" t="s">
        <v>104</v>
      </c>
      <c r="C26" s="11" t="s">
        <v>69</v>
      </c>
      <c r="D26" s="11" t="s">
        <v>70</v>
      </c>
      <c r="E26" s="11" t="s">
        <v>80</v>
      </c>
      <c r="F26" s="10" t="s">
        <v>81</v>
      </c>
      <c r="G26" s="27" t="s">
        <v>63</v>
      </c>
      <c r="H26" s="27" t="n">
        <v>50</v>
      </c>
      <c r="I26" s="29" t="n">
        <v>9.9</v>
      </c>
      <c r="J26" s="29" t="n">
        <f aca="false">H26*I26</f>
        <v>495</v>
      </c>
      <c r="K26" s="27" t="n">
        <v>90</v>
      </c>
      <c r="L26" s="30" t="n">
        <f aca="false">H26/K26</f>
        <v>0.555555555555556</v>
      </c>
    </row>
    <row r="27" customFormat="false" ht="15.75" hidden="false" customHeight="true" outlineLevel="0" collapsed="false">
      <c r="A27" s="23" t="n">
        <v>25</v>
      </c>
      <c r="B27" s="24" t="s">
        <v>105</v>
      </c>
      <c r="C27" s="8" t="s">
        <v>59</v>
      </c>
      <c r="D27" s="8" t="s">
        <v>60</v>
      </c>
      <c r="E27" s="8" t="s">
        <v>76</v>
      </c>
      <c r="F27" s="7" t="s">
        <v>77</v>
      </c>
      <c r="G27" s="23" t="s">
        <v>63</v>
      </c>
      <c r="H27" s="23" t="n">
        <v>80</v>
      </c>
      <c r="I27" s="25" t="n">
        <v>6</v>
      </c>
      <c r="J27" s="25" t="n">
        <f aca="false">H27*I27</f>
        <v>480</v>
      </c>
      <c r="K27" s="23" t="n">
        <v>100</v>
      </c>
      <c r="L27" s="26" t="n">
        <f aca="false">H27/K27</f>
        <v>0.8</v>
      </c>
    </row>
    <row r="28" customFormat="false" ht="15.75" hidden="false" customHeight="true" outlineLevel="0" collapsed="false">
      <c r="A28" s="27" t="n">
        <v>26</v>
      </c>
      <c r="B28" s="28" t="s">
        <v>106</v>
      </c>
      <c r="C28" s="11" t="s">
        <v>74</v>
      </c>
      <c r="D28" s="11" t="s">
        <v>75</v>
      </c>
      <c r="E28" s="11" t="s">
        <v>66</v>
      </c>
      <c r="F28" s="10" t="s">
        <v>67</v>
      </c>
      <c r="G28" s="27" t="s">
        <v>63</v>
      </c>
      <c r="H28" s="27" t="n">
        <v>95</v>
      </c>
      <c r="I28" s="29" t="n">
        <v>5</v>
      </c>
      <c r="J28" s="29" t="n">
        <f aca="false">H28*I28</f>
        <v>475</v>
      </c>
      <c r="K28" s="27" t="n">
        <v>80</v>
      </c>
      <c r="L28" s="30" t="n">
        <f aca="false">H28/K28</f>
        <v>1.1875</v>
      </c>
    </row>
    <row r="29" customFormat="false" ht="15.75" hidden="false" customHeight="true" outlineLevel="0" collapsed="false">
      <c r="A29" s="23" t="n">
        <v>27</v>
      </c>
      <c r="B29" s="24" t="s">
        <v>107</v>
      </c>
      <c r="C29" s="8" t="s">
        <v>65</v>
      </c>
      <c r="D29" s="8" t="s">
        <v>60</v>
      </c>
      <c r="E29" s="8" t="s">
        <v>86</v>
      </c>
      <c r="F29" s="7" t="s">
        <v>87</v>
      </c>
      <c r="G29" s="23" t="s">
        <v>88</v>
      </c>
      <c r="H29" s="23" t="n">
        <v>70</v>
      </c>
      <c r="I29" s="25" t="n">
        <v>3.5</v>
      </c>
      <c r="J29" s="25" t="n">
        <f aca="false">H29*I29</f>
        <v>245</v>
      </c>
      <c r="K29" s="23" t="n">
        <v>100</v>
      </c>
      <c r="L29" s="26" t="n">
        <f aca="false">H29/K29</f>
        <v>0.7</v>
      </c>
    </row>
    <row r="30" customFormat="false" ht="15.75" hidden="false" customHeight="true" outlineLevel="0" collapsed="false">
      <c r="A30" s="27" t="n">
        <v>28</v>
      </c>
      <c r="B30" s="28" t="s">
        <v>108</v>
      </c>
      <c r="C30" s="11" t="s">
        <v>83</v>
      </c>
      <c r="D30" s="11" t="s">
        <v>70</v>
      </c>
      <c r="E30" s="11" t="s">
        <v>71</v>
      </c>
      <c r="F30" s="10" t="s">
        <v>72</v>
      </c>
      <c r="G30" s="27" t="s">
        <v>63</v>
      </c>
      <c r="H30" s="27" t="n">
        <v>190</v>
      </c>
      <c r="I30" s="29" t="n">
        <v>2.5</v>
      </c>
      <c r="J30" s="29" t="n">
        <f aca="false">H30*I30</f>
        <v>475</v>
      </c>
      <c r="K30" s="27" t="n">
        <v>90</v>
      </c>
      <c r="L30" s="30" t="n">
        <f aca="false">H30/K30</f>
        <v>2.11111111111111</v>
      </c>
    </row>
    <row r="31" customFormat="false" ht="15.75" hidden="false" customHeight="true" outlineLevel="0" collapsed="false">
      <c r="A31" s="23" t="n">
        <v>29</v>
      </c>
      <c r="B31" s="24" t="s">
        <v>109</v>
      </c>
      <c r="C31" s="8" t="s">
        <v>79</v>
      </c>
      <c r="D31" s="8" t="s">
        <v>60</v>
      </c>
      <c r="E31" s="8" t="s">
        <v>80</v>
      </c>
      <c r="F31" s="7" t="s">
        <v>81</v>
      </c>
      <c r="G31" s="23" t="s">
        <v>63</v>
      </c>
      <c r="H31" s="23" t="n">
        <v>35</v>
      </c>
      <c r="I31" s="25" t="n">
        <v>9.9</v>
      </c>
      <c r="J31" s="25" t="n">
        <f aca="false">H31*I31</f>
        <v>346.5</v>
      </c>
      <c r="K31" s="23" t="n">
        <v>100</v>
      </c>
      <c r="L31" s="26" t="n">
        <f aca="false">H31/K31</f>
        <v>0.35</v>
      </c>
    </row>
    <row r="32" customFormat="false" ht="15.75" hidden="false" customHeight="true" outlineLevel="0" collapsed="false">
      <c r="A32" s="27" t="n">
        <v>30</v>
      </c>
      <c r="B32" s="28" t="s">
        <v>110</v>
      </c>
      <c r="C32" s="11" t="s">
        <v>74</v>
      </c>
      <c r="D32" s="11" t="s">
        <v>75</v>
      </c>
      <c r="E32" s="11" t="s">
        <v>61</v>
      </c>
      <c r="F32" s="10" t="s">
        <v>62</v>
      </c>
      <c r="G32" s="27" t="s">
        <v>63</v>
      </c>
      <c r="H32" s="27" t="n">
        <v>125</v>
      </c>
      <c r="I32" s="29" t="n">
        <v>8.5</v>
      </c>
      <c r="J32" s="29" t="n">
        <f aca="false">H32*I32</f>
        <v>1062.5</v>
      </c>
      <c r="K32" s="27" t="n">
        <v>80</v>
      </c>
      <c r="L32" s="30" t="n">
        <f aca="false">H32/K32</f>
        <v>1.5625</v>
      </c>
    </row>
    <row r="33" customFormat="false" ht="15.75" hidden="false" customHeight="true" outlineLevel="0" collapsed="false">
      <c r="A33" s="23" t="n">
        <v>31</v>
      </c>
      <c r="B33" s="24" t="s">
        <v>111</v>
      </c>
      <c r="C33" s="8" t="s">
        <v>85</v>
      </c>
      <c r="D33" s="8" t="s">
        <v>70</v>
      </c>
      <c r="E33" s="8" t="s">
        <v>76</v>
      </c>
      <c r="F33" s="7" t="s">
        <v>77</v>
      </c>
      <c r="G33" s="23" t="s">
        <v>63</v>
      </c>
      <c r="H33" s="23" t="n">
        <v>65</v>
      </c>
      <c r="I33" s="25" t="n">
        <v>6</v>
      </c>
      <c r="J33" s="25" t="n">
        <f aca="false">H33*I33</f>
        <v>390</v>
      </c>
      <c r="K33" s="23" t="n">
        <v>90</v>
      </c>
      <c r="L33" s="26" t="n">
        <f aca="false">H33/K33</f>
        <v>0.722222222222222</v>
      </c>
    </row>
    <row r="34" customFormat="false" ht="15.75" hidden="false" customHeight="true" outlineLevel="0" collapsed="false">
      <c r="A34" s="27" t="n">
        <v>32</v>
      </c>
      <c r="B34" s="28" t="s">
        <v>112</v>
      </c>
      <c r="C34" s="11" t="s">
        <v>59</v>
      </c>
      <c r="D34" s="11" t="s">
        <v>60</v>
      </c>
      <c r="E34" s="11" t="s">
        <v>71</v>
      </c>
      <c r="F34" s="10" t="s">
        <v>72</v>
      </c>
      <c r="G34" s="27" t="s">
        <v>63</v>
      </c>
      <c r="H34" s="27" t="n">
        <v>160</v>
      </c>
      <c r="I34" s="29" t="n">
        <v>2.5</v>
      </c>
      <c r="J34" s="29" t="n">
        <f aca="false">H34*I34</f>
        <v>400</v>
      </c>
      <c r="K34" s="27" t="n">
        <v>100</v>
      </c>
      <c r="L34" s="30" t="n">
        <f aca="false">H34/K34</f>
        <v>1.6</v>
      </c>
    </row>
    <row r="35" customFormat="false" ht="15.75" hidden="false" customHeight="true" outlineLevel="0" collapsed="false">
      <c r="A35" s="23" t="n">
        <v>33</v>
      </c>
      <c r="B35" s="24" t="s">
        <v>113</v>
      </c>
      <c r="C35" s="8" t="s">
        <v>69</v>
      </c>
      <c r="D35" s="8" t="s">
        <v>70</v>
      </c>
      <c r="E35" s="8" t="s">
        <v>66</v>
      </c>
      <c r="F35" s="7" t="s">
        <v>67</v>
      </c>
      <c r="G35" s="23" t="s">
        <v>63</v>
      </c>
      <c r="H35" s="23" t="n">
        <v>88</v>
      </c>
      <c r="I35" s="25" t="n">
        <v>5</v>
      </c>
      <c r="J35" s="25" t="n">
        <f aca="false">H35*I35</f>
        <v>440</v>
      </c>
      <c r="K35" s="23" t="n">
        <v>90</v>
      </c>
      <c r="L35" s="26" t="n">
        <f aca="false">H35/K35</f>
        <v>0.977777777777778</v>
      </c>
    </row>
    <row r="36" customFormat="false" ht="15.75" hidden="false" customHeight="true" outlineLevel="0" collapsed="false">
      <c r="A36" s="27" t="n">
        <v>34</v>
      </c>
      <c r="B36" s="28" t="s">
        <v>114</v>
      </c>
      <c r="C36" s="11" t="s">
        <v>65</v>
      </c>
      <c r="D36" s="11" t="s">
        <v>60</v>
      </c>
      <c r="E36" s="11" t="s">
        <v>61</v>
      </c>
      <c r="F36" s="10" t="s">
        <v>62</v>
      </c>
      <c r="G36" s="27" t="s">
        <v>63</v>
      </c>
      <c r="H36" s="27" t="n">
        <v>140</v>
      </c>
      <c r="I36" s="29" t="n">
        <v>8.5</v>
      </c>
      <c r="J36" s="29" t="n">
        <f aca="false">H36*I36</f>
        <v>1190</v>
      </c>
      <c r="K36" s="27" t="n">
        <v>100</v>
      </c>
      <c r="L36" s="30" t="n">
        <f aca="false">H36/K36</f>
        <v>1.4</v>
      </c>
    </row>
    <row r="37" customFormat="false" ht="15.75" hidden="false" customHeight="true" outlineLevel="0" collapsed="false">
      <c r="A37" s="23" t="n">
        <v>35</v>
      </c>
      <c r="B37" s="24" t="s">
        <v>115</v>
      </c>
      <c r="C37" s="8" t="s">
        <v>83</v>
      </c>
      <c r="D37" s="8" t="s">
        <v>70</v>
      </c>
      <c r="E37" s="8" t="s">
        <v>86</v>
      </c>
      <c r="F37" s="7" t="s">
        <v>87</v>
      </c>
      <c r="G37" s="23" t="s">
        <v>88</v>
      </c>
      <c r="H37" s="23" t="n">
        <v>75</v>
      </c>
      <c r="I37" s="25" t="n">
        <v>3.5</v>
      </c>
      <c r="J37" s="25" t="n">
        <f aca="false">H37*I37</f>
        <v>262.5</v>
      </c>
      <c r="K37" s="23" t="n">
        <v>90</v>
      </c>
      <c r="L37" s="26" t="n">
        <f aca="false">H37/K37</f>
        <v>0.833333333333333</v>
      </c>
    </row>
    <row r="38" customFormat="false" ht="19.5" hidden="false" customHeight="true" outlineLevel="0" collapsed="false">
      <c r="A38" s="31" t="s">
        <v>116</v>
      </c>
      <c r="B38" s="31"/>
      <c r="C38" s="31"/>
      <c r="D38" s="31"/>
      <c r="E38" s="31"/>
      <c r="F38" s="31"/>
      <c r="G38" s="31"/>
      <c r="H38" s="32" t="n">
        <f aca="false">SUM(H3:H37)</f>
        <v>3388</v>
      </c>
      <c r="J38" s="33" t="n">
        <f aca="false">SUM(J3:J37)</f>
        <v>18517.5</v>
      </c>
    </row>
  </sheetData>
  <mergeCells count="2">
    <mergeCell ref="A1:L1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0"/>
    <col collapsed="false" customWidth="true" hidden="false" outlineLevel="0" max="8" min="8" style="1" width="8"/>
  </cols>
  <sheetData>
    <row r="1" customFormat="false" ht="25.5" hidden="false" customHeight="true" outlineLevel="0" collapsed="false">
      <c r="B1" s="22" t="s">
        <v>117</v>
      </c>
      <c r="C1" s="22"/>
      <c r="D1" s="22"/>
      <c r="E1" s="22"/>
      <c r="F1" s="22"/>
      <c r="G1" s="22"/>
      <c r="H1" s="22"/>
    </row>
    <row r="2" customFormat="false" ht="19.5" hidden="false" customHeight="true" outlineLevel="0" collapsed="false">
      <c r="B2" s="6" t="s">
        <v>51</v>
      </c>
      <c r="C2" s="6" t="s">
        <v>50</v>
      </c>
      <c r="D2" s="6" t="s">
        <v>52</v>
      </c>
      <c r="E2" s="6" t="s">
        <v>118</v>
      </c>
      <c r="F2" s="6" t="s">
        <v>119</v>
      </c>
      <c r="G2" s="6" t="s">
        <v>120</v>
      </c>
      <c r="H2" s="6" t="s">
        <v>121</v>
      </c>
    </row>
    <row r="3" customFormat="false" ht="18" hidden="false" customHeight="true" outlineLevel="0" collapsed="false">
      <c r="B3" s="7" t="s">
        <v>62</v>
      </c>
      <c r="C3" s="8" t="s">
        <v>61</v>
      </c>
      <c r="D3" s="23" t="s">
        <v>63</v>
      </c>
      <c r="E3" s="25" t="n">
        <v>8.5</v>
      </c>
      <c r="F3" s="8" t="s">
        <v>122</v>
      </c>
      <c r="G3" s="34" t="s">
        <v>123</v>
      </c>
      <c r="H3" s="26" t="n">
        <v>0.32</v>
      </c>
    </row>
    <row r="4" customFormat="false" ht="18" hidden="false" customHeight="true" outlineLevel="0" collapsed="false">
      <c r="B4" s="10" t="s">
        <v>67</v>
      </c>
      <c r="C4" s="11" t="s">
        <v>66</v>
      </c>
      <c r="D4" s="27" t="s">
        <v>63</v>
      </c>
      <c r="E4" s="29" t="n">
        <v>5</v>
      </c>
      <c r="F4" s="11" t="s">
        <v>124</v>
      </c>
      <c r="G4" s="35" t="s">
        <v>123</v>
      </c>
      <c r="H4" s="30" t="n">
        <v>0.28</v>
      </c>
    </row>
    <row r="5" customFormat="false" ht="18" hidden="false" customHeight="true" outlineLevel="0" collapsed="false">
      <c r="B5" s="7" t="s">
        <v>72</v>
      </c>
      <c r="C5" s="8" t="s">
        <v>71</v>
      </c>
      <c r="D5" s="23" t="s">
        <v>63</v>
      </c>
      <c r="E5" s="25" t="n">
        <v>2.5</v>
      </c>
      <c r="F5" s="8" t="s">
        <v>125</v>
      </c>
      <c r="G5" s="34" t="s">
        <v>123</v>
      </c>
      <c r="H5" s="26" t="n">
        <v>0.45</v>
      </c>
    </row>
    <row r="6" customFormat="false" ht="18" hidden="false" customHeight="true" outlineLevel="0" collapsed="false">
      <c r="B6" s="10" t="s">
        <v>77</v>
      </c>
      <c r="C6" s="11" t="s">
        <v>76</v>
      </c>
      <c r="D6" s="27" t="s">
        <v>63</v>
      </c>
      <c r="E6" s="29" t="n">
        <v>6</v>
      </c>
      <c r="F6" s="11" t="s">
        <v>126</v>
      </c>
      <c r="G6" s="35" t="s">
        <v>123</v>
      </c>
      <c r="H6" s="30" t="n">
        <v>0.3</v>
      </c>
    </row>
    <row r="7" customFormat="false" ht="18" hidden="false" customHeight="true" outlineLevel="0" collapsed="false">
      <c r="B7" s="7" t="s">
        <v>81</v>
      </c>
      <c r="C7" s="8" t="s">
        <v>80</v>
      </c>
      <c r="D7" s="23" t="s">
        <v>63</v>
      </c>
      <c r="E7" s="25" t="n">
        <v>9.9</v>
      </c>
      <c r="F7" s="8" t="s">
        <v>127</v>
      </c>
      <c r="G7" s="34" t="s">
        <v>123</v>
      </c>
      <c r="H7" s="26" t="n">
        <v>0.38</v>
      </c>
    </row>
    <row r="8" customFormat="false" ht="18" hidden="false" customHeight="true" outlineLevel="0" collapsed="false">
      <c r="B8" s="10" t="s">
        <v>87</v>
      </c>
      <c r="C8" s="11" t="s">
        <v>86</v>
      </c>
      <c r="D8" s="27" t="s">
        <v>88</v>
      </c>
      <c r="E8" s="29" t="n">
        <v>3.5</v>
      </c>
      <c r="F8" s="11" t="s">
        <v>128</v>
      </c>
      <c r="G8" s="35" t="s">
        <v>123</v>
      </c>
      <c r="H8" s="30" t="n">
        <v>0.22</v>
      </c>
    </row>
    <row r="9" customFormat="false" ht="18" hidden="false" customHeight="true" outlineLevel="0" collapsed="false">
      <c r="B9" s="7" t="s">
        <v>129</v>
      </c>
      <c r="C9" s="8" t="s">
        <v>130</v>
      </c>
      <c r="D9" s="23" t="s">
        <v>88</v>
      </c>
      <c r="E9" s="25" t="n">
        <v>2.8</v>
      </c>
      <c r="F9" s="8" t="s">
        <v>131</v>
      </c>
      <c r="G9" s="36" t="s">
        <v>132</v>
      </c>
      <c r="H9" s="26" t="n">
        <v>0.18</v>
      </c>
    </row>
    <row r="11" customFormat="false" ht="18" hidden="false" customHeight="true" outlineLevel="0" collapsed="false">
      <c r="B11" s="37" t="s">
        <v>133</v>
      </c>
      <c r="C11" s="37"/>
      <c r="D11" s="37"/>
      <c r="E11" s="37"/>
      <c r="F11" s="37"/>
      <c r="G11" s="37"/>
      <c r="H11" s="37"/>
    </row>
    <row r="12" customFormat="false" ht="18" hidden="false" customHeight="true" outlineLevel="0" collapsed="false">
      <c r="B12" s="37"/>
      <c r="C12" s="37"/>
      <c r="D12" s="37"/>
      <c r="E12" s="37"/>
      <c r="F12" s="37"/>
      <c r="G12" s="37"/>
      <c r="H12" s="37"/>
    </row>
  </sheetData>
  <mergeCells count="2">
    <mergeCell ref="B1:H1"/>
    <mergeCell ref="B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5" min="3" style="1" width="26"/>
    <col collapsed="false" customWidth="true" hidden="false" outlineLevel="0" max="6" min="6" style="1" width="3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3"/>
  </cols>
  <sheetData>
    <row r="1" customFormat="false" ht="30" hidden="false" customHeight="true" outlineLevel="0" collapsed="false">
      <c r="B1" s="38" t="s">
        <v>134</v>
      </c>
      <c r="C1" s="38"/>
      <c r="D1" s="38"/>
      <c r="E1" s="38"/>
    </row>
    <row r="2" customFormat="false" ht="18" hidden="false" customHeight="true" outlineLevel="0" collapsed="false">
      <c r="B2" s="39" t="s">
        <v>135</v>
      </c>
      <c r="C2" s="39"/>
      <c r="D2" s="39"/>
      <c r="E2" s="39"/>
    </row>
    <row r="3" customFormat="false" ht="18" hidden="false" customHeight="true" outlineLevel="0" collapsed="false">
      <c r="B3" s="39"/>
      <c r="C3" s="39"/>
      <c r="D3" s="39"/>
      <c r="E3" s="39"/>
    </row>
    <row r="4" customFormat="false" ht="9.75" hidden="false" customHeight="true" outlineLevel="0" collapsed="false"/>
    <row r="5" customFormat="false" ht="25.5" hidden="false" customHeight="true" outlineLevel="0" collapsed="false">
      <c r="B5" s="40" t="s">
        <v>136</v>
      </c>
      <c r="C5" s="40"/>
      <c r="D5" s="40"/>
      <c r="E5" s="40"/>
    </row>
    <row r="6" customFormat="false" ht="18" hidden="false" customHeight="true" outlineLevel="0" collapsed="false">
      <c r="B6" s="39" t="s">
        <v>137</v>
      </c>
      <c r="C6" s="39"/>
      <c r="D6" s="39"/>
      <c r="E6" s="39"/>
    </row>
    <row r="7" customFormat="false" ht="18" hidden="false" customHeight="true" outlineLevel="0" collapsed="false">
      <c r="B7" s="39"/>
      <c r="C7" s="39"/>
      <c r="D7" s="39"/>
      <c r="E7" s="39"/>
    </row>
    <row r="8" customFormat="false" ht="19.5" hidden="false" customHeight="true" outlineLevel="0" collapsed="false">
      <c r="B8" s="6" t="s">
        <v>138</v>
      </c>
      <c r="C8" s="6" t="s">
        <v>139</v>
      </c>
      <c r="D8" s="6" t="s">
        <v>140</v>
      </c>
      <c r="E8" s="6" t="s">
        <v>141</v>
      </c>
    </row>
    <row r="10" customFormat="false" ht="18" hidden="false" customHeight="true" outlineLevel="0" collapsed="false">
      <c r="B10" s="10" t="s">
        <v>62</v>
      </c>
      <c r="C10" s="27" t="s">
        <v>63</v>
      </c>
      <c r="D10" s="41"/>
      <c r="E10" s="41"/>
    </row>
    <row r="11" customFormat="false" ht="18" hidden="false" customHeight="true" outlineLevel="0" collapsed="false">
      <c r="B11" s="7" t="s">
        <v>72</v>
      </c>
      <c r="C11" s="23" t="s">
        <v>63</v>
      </c>
      <c r="D11" s="41"/>
      <c r="E11" s="41"/>
    </row>
    <row r="12" customFormat="false" ht="18" hidden="false" customHeight="true" outlineLevel="0" collapsed="false">
      <c r="B12" s="10" t="s">
        <v>81</v>
      </c>
      <c r="C12" s="27" t="s">
        <v>63</v>
      </c>
      <c r="D12" s="41"/>
      <c r="E12" s="41"/>
    </row>
    <row r="13" customFormat="false" ht="18" hidden="false" customHeight="true" outlineLevel="0" collapsed="false">
      <c r="B13" s="7" t="s">
        <v>87</v>
      </c>
      <c r="C13" s="23" t="s">
        <v>88</v>
      </c>
      <c r="D13" s="41"/>
      <c r="E13" s="41"/>
    </row>
    <row r="14" customFormat="false" ht="7.5" hidden="false" customHeight="true" outlineLevel="0" collapsed="false"/>
    <row r="15" customFormat="false" ht="25.5" hidden="false" customHeight="true" outlineLevel="0" collapsed="false">
      <c r="B15" s="42" t="s">
        <v>142</v>
      </c>
      <c r="C15" s="42"/>
      <c r="D15" s="42"/>
      <c r="E15" s="42"/>
    </row>
    <row r="16" customFormat="false" ht="18" hidden="false" customHeight="true" outlineLevel="0" collapsed="false">
      <c r="B16" s="39" t="s">
        <v>143</v>
      </c>
      <c r="C16" s="39"/>
      <c r="D16" s="39"/>
      <c r="E16" s="39"/>
    </row>
    <row r="17" customFormat="false" ht="18" hidden="false" customHeight="true" outlineLevel="0" collapsed="false">
      <c r="B17" s="39"/>
      <c r="C17" s="39"/>
      <c r="D17" s="39"/>
      <c r="E17" s="39"/>
    </row>
    <row r="18" customFormat="false" ht="19.5" hidden="false" customHeight="true" outlineLevel="0" collapsed="false">
      <c r="B18" s="6" t="s">
        <v>138</v>
      </c>
      <c r="C18" s="6" t="s">
        <v>144</v>
      </c>
      <c r="D18" s="6" t="s">
        <v>145</v>
      </c>
      <c r="E18" s="6" t="s">
        <v>146</v>
      </c>
    </row>
    <row r="19" customFormat="false" ht="18" hidden="false" customHeight="true" outlineLevel="0" collapsed="false">
      <c r="B19" s="7" t="s">
        <v>67</v>
      </c>
      <c r="C19" s="9" t="s">
        <v>66</v>
      </c>
      <c r="D19" s="41"/>
      <c r="E19" s="41"/>
    </row>
    <row r="20" customFormat="false" ht="18" hidden="false" customHeight="true" outlineLevel="0" collapsed="false">
      <c r="B20" s="43" t="s">
        <v>129</v>
      </c>
      <c r="C20" s="44" t="s">
        <v>147</v>
      </c>
      <c r="D20" s="41"/>
      <c r="E20" s="41"/>
    </row>
    <row r="21" customFormat="false" ht="18" hidden="false" customHeight="true" outlineLevel="0" collapsed="false">
      <c r="B21" s="43" t="s">
        <v>148</v>
      </c>
      <c r="C21" s="44" t="s">
        <v>149</v>
      </c>
      <c r="D21" s="41"/>
      <c r="E21" s="41"/>
    </row>
    <row r="22" customFormat="false" ht="7.5" hidden="false" customHeight="true" outlineLevel="0" collapsed="false"/>
    <row r="23" customFormat="false" ht="25.5" hidden="false" customHeight="true" outlineLevel="0" collapsed="false">
      <c r="B23" s="45" t="s">
        <v>150</v>
      </c>
      <c r="C23" s="45"/>
      <c r="D23" s="45"/>
      <c r="E23" s="45"/>
    </row>
    <row r="24" customFormat="false" ht="18" hidden="false" customHeight="true" outlineLevel="0" collapsed="false">
      <c r="B24" s="39" t="s">
        <v>151</v>
      </c>
      <c r="C24" s="39"/>
      <c r="D24" s="39"/>
      <c r="E24" s="39"/>
    </row>
    <row r="25" customFormat="false" ht="18" hidden="false" customHeight="true" outlineLevel="0" collapsed="false">
      <c r="B25" s="39"/>
      <c r="C25" s="39"/>
      <c r="D25" s="39"/>
      <c r="E25" s="39"/>
    </row>
    <row r="26" customFormat="false" ht="19.5" hidden="false" customHeight="true" outlineLevel="0" collapsed="false">
      <c r="B26" s="6" t="s">
        <v>51</v>
      </c>
      <c r="C26" s="6" t="s">
        <v>152</v>
      </c>
      <c r="D26" s="6" t="s">
        <v>52</v>
      </c>
      <c r="E26" s="6" t="s">
        <v>153</v>
      </c>
    </row>
    <row r="27" customFormat="false" ht="21.75" hidden="false" customHeight="true" outlineLevel="0" collapsed="false">
      <c r="B27" s="46" t="s">
        <v>77</v>
      </c>
      <c r="C27" s="41"/>
      <c r="D27" s="47"/>
      <c r="E27" s="47"/>
    </row>
    <row r="28" customFormat="false" ht="15.75" hidden="false" customHeight="true" outlineLevel="0" collapsed="false">
      <c r="B28" s="48" t="s">
        <v>154</v>
      </c>
      <c r="C28" s="48"/>
      <c r="D28" s="48"/>
      <c r="E28" s="48"/>
    </row>
    <row r="29" customFormat="false" ht="15.75" hidden="false" customHeight="true" outlineLevel="0" collapsed="false">
      <c r="B29" s="48"/>
      <c r="C29" s="48"/>
      <c r="D29" s="48"/>
      <c r="E29" s="48"/>
    </row>
  </sheetData>
  <mergeCells count="9">
    <mergeCell ref="B1:E1"/>
    <mergeCell ref="B2:E3"/>
    <mergeCell ref="B5:E5"/>
    <mergeCell ref="B6:E7"/>
    <mergeCell ref="B15:E15"/>
    <mergeCell ref="B16:E17"/>
    <mergeCell ref="B23:E23"/>
    <mergeCell ref="B24:E25"/>
    <mergeCell ref="B28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6" min="3" style="1" width="18"/>
    <col collapsed="false" customWidth="true" hidden="false" outlineLevel="0" max="7" min="7" style="1" width="3"/>
    <col collapsed="false" customWidth="true" hidden="false" outlineLevel="0" max="8" min="8" style="1" width="26"/>
    <col collapsed="false" customWidth="true" hidden="false" outlineLevel="0" max="9" min="9" style="1" width="3"/>
  </cols>
  <sheetData>
    <row r="1" customFormat="false" ht="30" hidden="false" customHeight="true" outlineLevel="0" collapsed="false">
      <c r="B1" s="38" t="s">
        <v>155</v>
      </c>
      <c r="C1" s="38"/>
      <c r="D1" s="38"/>
      <c r="E1" s="38"/>
      <c r="F1" s="38"/>
    </row>
    <row r="2" customFormat="false" ht="18" hidden="false" customHeight="true" outlineLevel="0" collapsed="false">
      <c r="B2" s="39" t="s">
        <v>156</v>
      </c>
      <c r="C2" s="39"/>
      <c r="D2" s="39"/>
      <c r="E2" s="39"/>
      <c r="F2" s="39"/>
    </row>
    <row r="3" customFormat="false" ht="18" hidden="false" customHeight="true" outlineLevel="0" collapsed="false">
      <c r="B3" s="39"/>
      <c r="C3" s="39"/>
      <c r="D3" s="39"/>
      <c r="E3" s="39"/>
      <c r="F3" s="39"/>
    </row>
    <row r="4" customFormat="false" ht="9.75" hidden="false" customHeight="true" outlineLevel="0" collapsed="false"/>
    <row r="5" customFormat="false" ht="25.5" hidden="false" customHeight="true" outlineLevel="0" collapsed="false">
      <c r="B5" s="40" t="s">
        <v>157</v>
      </c>
      <c r="C5" s="40"/>
      <c r="D5" s="40"/>
      <c r="E5" s="40"/>
      <c r="F5" s="40"/>
    </row>
    <row r="6" customFormat="false" ht="18" hidden="false" customHeight="true" outlineLevel="0" collapsed="false">
      <c r="B6" s="39" t="s">
        <v>158</v>
      </c>
      <c r="C6" s="39"/>
      <c r="D6" s="39"/>
      <c r="E6" s="39"/>
      <c r="F6" s="39"/>
    </row>
    <row r="7" customFormat="false" ht="18" hidden="false" customHeight="true" outlineLevel="0" collapsed="false">
      <c r="B7" s="39"/>
      <c r="C7" s="39"/>
      <c r="D7" s="39"/>
      <c r="E7" s="39"/>
      <c r="F7" s="39"/>
    </row>
    <row r="8" customFormat="false" ht="19.5" hidden="false" customHeight="true" outlineLevel="0" collapsed="false">
      <c r="B8" s="6" t="s">
        <v>159</v>
      </c>
      <c r="C8" s="6" t="s">
        <v>50</v>
      </c>
      <c r="D8" s="6" t="s">
        <v>51</v>
      </c>
      <c r="E8" s="6" t="s">
        <v>160</v>
      </c>
      <c r="F8" s="6" t="s">
        <v>53</v>
      </c>
    </row>
    <row r="9" customFormat="false" ht="19.5" hidden="false" customHeight="true" outlineLevel="0" collapsed="false">
      <c r="B9" s="41"/>
      <c r="C9" s="49" t="s">
        <v>161</v>
      </c>
      <c r="D9" s="49" t="s">
        <v>161</v>
      </c>
      <c r="E9" s="49" t="s">
        <v>161</v>
      </c>
      <c r="F9" s="49" t="s">
        <v>161</v>
      </c>
    </row>
    <row r="20" customFormat="false" ht="7.5" hidden="false" customHeight="true" outlineLevel="0" collapsed="false"/>
    <row r="21" customFormat="false" ht="25.5" hidden="false" customHeight="true" outlineLevel="0" collapsed="false">
      <c r="B21" s="42" t="s">
        <v>162</v>
      </c>
      <c r="C21" s="42"/>
      <c r="D21" s="42"/>
      <c r="E21" s="42"/>
      <c r="F21" s="42"/>
    </row>
    <row r="22" customFormat="false" ht="18" hidden="false" customHeight="true" outlineLevel="0" collapsed="false">
      <c r="B22" s="39" t="s">
        <v>163</v>
      </c>
      <c r="C22" s="39"/>
      <c r="D22" s="39"/>
      <c r="E22" s="39"/>
      <c r="F22" s="39"/>
    </row>
    <row r="23" customFormat="false" ht="18" hidden="false" customHeight="true" outlineLevel="0" collapsed="false">
      <c r="B23" s="39"/>
      <c r="C23" s="39"/>
      <c r="D23" s="39"/>
      <c r="E23" s="39"/>
      <c r="F23" s="39"/>
    </row>
    <row r="24" customFormat="false" ht="19.5" hidden="false" customHeight="true" outlineLevel="0" collapsed="false">
      <c r="B24" s="6" t="s">
        <v>48</v>
      </c>
      <c r="C24" s="6" t="s">
        <v>50</v>
      </c>
      <c r="D24" s="6" t="s">
        <v>53</v>
      </c>
      <c r="E24" s="6" t="s">
        <v>55</v>
      </c>
      <c r="F24" s="6" t="s">
        <v>57</v>
      </c>
    </row>
    <row r="25" customFormat="false" ht="19.5" hidden="false" customHeight="true" outlineLevel="0" collapsed="false">
      <c r="B25" s="41"/>
      <c r="C25" s="50"/>
      <c r="D25" s="50"/>
      <c r="E25" s="50"/>
      <c r="F25" s="50"/>
    </row>
    <row r="35" customFormat="false" ht="7.5" hidden="false" customHeight="true" outlineLevel="0" collapsed="false"/>
    <row r="36" customFormat="false" ht="25.5" hidden="false" customHeight="true" outlineLevel="0" collapsed="false">
      <c r="B36" s="45" t="s">
        <v>164</v>
      </c>
      <c r="C36" s="45"/>
      <c r="D36" s="45"/>
      <c r="E36" s="45"/>
      <c r="F36" s="45"/>
    </row>
    <row r="37" customFormat="false" ht="18" hidden="false" customHeight="true" outlineLevel="0" collapsed="false">
      <c r="B37" s="39" t="s">
        <v>165</v>
      </c>
      <c r="C37" s="39"/>
      <c r="D37" s="39"/>
      <c r="E37" s="39"/>
      <c r="F37" s="39"/>
    </row>
    <row r="38" customFormat="false" ht="18" hidden="false" customHeight="true" outlineLevel="0" collapsed="false">
      <c r="B38" s="39"/>
      <c r="C38" s="39"/>
      <c r="D38" s="39"/>
      <c r="E38" s="39"/>
      <c r="F38" s="39"/>
    </row>
    <row r="39" customFormat="false" ht="19.5" hidden="false" customHeight="true" outlineLevel="0" collapsed="false">
      <c r="B39" s="6" t="s">
        <v>166</v>
      </c>
      <c r="C39" s="6" t="s">
        <v>167</v>
      </c>
      <c r="D39" s="6" t="s">
        <v>168</v>
      </c>
      <c r="E39" s="6" t="s">
        <v>167</v>
      </c>
      <c r="F39" s="6" t="s">
        <v>169</v>
      </c>
    </row>
    <row r="40" customFormat="false" ht="19.5" hidden="false" customHeight="true" outlineLevel="0" collapsed="false">
      <c r="B40" s="41"/>
      <c r="C40" s="50"/>
      <c r="D40" s="41"/>
      <c r="E40" s="50"/>
      <c r="F40" s="41"/>
    </row>
  </sheetData>
  <mergeCells count="8">
    <mergeCell ref="B1:F1"/>
    <mergeCell ref="B2:F3"/>
    <mergeCell ref="B5:F5"/>
    <mergeCell ref="B6:F7"/>
    <mergeCell ref="B21:F21"/>
    <mergeCell ref="B22:F23"/>
    <mergeCell ref="B36:F36"/>
    <mergeCell ref="B37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20"/>
    <col collapsed="false" customWidth="true" hidden="false" outlineLevel="0" max="7" min="7" style="1" width="3"/>
  </cols>
  <sheetData>
    <row r="1" customFormat="false" ht="30" hidden="false" customHeight="true" outlineLevel="0" collapsed="false">
      <c r="B1" s="38" t="s">
        <v>170</v>
      </c>
      <c r="C1" s="38"/>
      <c r="D1" s="38"/>
      <c r="E1" s="38"/>
      <c r="F1" s="38"/>
    </row>
    <row r="2" customFormat="false" ht="18" hidden="false" customHeight="true" outlineLevel="0" collapsed="false">
      <c r="B2" s="39" t="s">
        <v>171</v>
      </c>
      <c r="C2" s="39"/>
      <c r="D2" s="39"/>
      <c r="E2" s="39"/>
      <c r="F2" s="39"/>
    </row>
    <row r="3" customFormat="false" ht="18" hidden="false" customHeight="true" outlineLevel="0" collapsed="false">
      <c r="B3" s="39"/>
      <c r="C3" s="39"/>
      <c r="D3" s="39"/>
      <c r="E3" s="39"/>
      <c r="F3" s="39"/>
    </row>
    <row r="4" customFormat="false" ht="9.75" hidden="false" customHeight="true" outlineLevel="0" collapsed="false"/>
    <row r="5" customFormat="false" ht="25.5" hidden="false" customHeight="true" outlineLevel="0" collapsed="false">
      <c r="B5" s="40" t="s">
        <v>172</v>
      </c>
      <c r="C5" s="40"/>
      <c r="D5" s="40"/>
      <c r="E5" s="40"/>
    </row>
    <row r="6" customFormat="false" ht="18" hidden="false" customHeight="true" outlineLevel="0" collapsed="false">
      <c r="B6" s="39" t="s">
        <v>173</v>
      </c>
      <c r="C6" s="39"/>
      <c r="D6" s="39"/>
      <c r="E6" s="39"/>
    </row>
    <row r="7" customFormat="false" ht="18" hidden="false" customHeight="true" outlineLevel="0" collapsed="false">
      <c r="B7" s="39"/>
      <c r="C7" s="39"/>
      <c r="D7" s="39"/>
      <c r="E7" s="39"/>
    </row>
    <row r="8" customFormat="false" ht="19.5" hidden="false" customHeight="true" outlineLevel="0" collapsed="false">
      <c r="B8" s="6" t="s">
        <v>174</v>
      </c>
      <c r="C8" s="6" t="s">
        <v>175</v>
      </c>
      <c r="D8" s="6" t="s">
        <v>176</v>
      </c>
      <c r="E8" s="6" t="s">
        <v>177</v>
      </c>
    </row>
    <row r="9" customFormat="false" ht="18" hidden="false" customHeight="true" outlineLevel="0" collapsed="false">
      <c r="B9" s="8" t="s">
        <v>178</v>
      </c>
      <c r="C9" s="41"/>
      <c r="D9" s="9" t="s">
        <v>179</v>
      </c>
      <c r="E9" s="51"/>
    </row>
    <row r="10" customFormat="false" ht="18" hidden="false" customHeight="true" outlineLevel="0" collapsed="false">
      <c r="B10" s="11" t="s">
        <v>180</v>
      </c>
      <c r="C10" s="41"/>
      <c r="D10" s="12" t="s">
        <v>181</v>
      </c>
      <c r="E10" s="51"/>
    </row>
    <row r="11" customFormat="false" ht="18" hidden="false" customHeight="true" outlineLevel="0" collapsed="false">
      <c r="B11" s="8" t="s">
        <v>182</v>
      </c>
      <c r="C11" s="41"/>
      <c r="D11" s="9" t="s">
        <v>183</v>
      </c>
      <c r="E11" s="51"/>
    </row>
    <row r="12" customFormat="false" ht="18" hidden="false" customHeight="true" outlineLevel="0" collapsed="false">
      <c r="B12" s="11" t="s">
        <v>184</v>
      </c>
      <c r="C12" s="41"/>
      <c r="D12" s="12" t="s">
        <v>185</v>
      </c>
      <c r="E12" s="51"/>
    </row>
    <row r="13" customFormat="false" ht="18" hidden="false" customHeight="true" outlineLevel="0" collapsed="false">
      <c r="B13" s="8" t="s">
        <v>186</v>
      </c>
      <c r="C13" s="41"/>
      <c r="D13" s="9" t="s">
        <v>187</v>
      </c>
      <c r="E13" s="51"/>
    </row>
    <row r="14" customFormat="false" ht="9.75" hidden="false" customHeight="true" outlineLevel="0" collapsed="false"/>
    <row r="15" customFormat="false" ht="25.5" hidden="false" customHeight="true" outlineLevel="0" collapsed="false">
      <c r="B15" s="42" t="s">
        <v>188</v>
      </c>
      <c r="C15" s="42"/>
      <c r="D15" s="42"/>
      <c r="E15" s="42"/>
    </row>
    <row r="16" customFormat="false" ht="18" hidden="false" customHeight="true" outlineLevel="0" collapsed="false">
      <c r="B16" s="39" t="s">
        <v>189</v>
      </c>
      <c r="C16" s="39"/>
      <c r="D16" s="39"/>
      <c r="E16" s="39"/>
    </row>
    <row r="17" customFormat="false" ht="18" hidden="false" customHeight="true" outlineLevel="0" collapsed="false">
      <c r="B17" s="39"/>
      <c r="C17" s="39"/>
      <c r="D17" s="39"/>
      <c r="E17" s="39"/>
    </row>
    <row r="19" customFormat="false" ht="19.5" hidden="false" customHeight="true" outlineLevel="0" collapsed="false">
      <c r="B19" s="6" t="s">
        <v>190</v>
      </c>
      <c r="C19" s="6" t="s">
        <v>191</v>
      </c>
      <c r="D19" s="6" t="s">
        <v>192</v>
      </c>
      <c r="E19" s="6" t="s">
        <v>193</v>
      </c>
    </row>
    <row r="20" customFormat="false" ht="15" hidden="false" customHeight="true" outlineLevel="0" collapsed="false">
      <c r="B20" s="41"/>
      <c r="C20" s="41"/>
      <c r="D20" s="41"/>
      <c r="E20" s="41"/>
    </row>
    <row r="21" customFormat="false" ht="18" hidden="false" customHeight="true" outlineLevel="0" collapsed="false">
      <c r="B21" s="50"/>
      <c r="C21" s="50"/>
      <c r="D21" s="50"/>
      <c r="E21" s="50"/>
    </row>
    <row r="22" customFormat="false" ht="18" hidden="false" customHeight="true" outlineLevel="0" collapsed="false">
      <c r="B22" s="50"/>
      <c r="C22" s="50"/>
      <c r="D22" s="50"/>
      <c r="E22" s="50"/>
    </row>
    <row r="23" customFormat="false" ht="18" hidden="false" customHeight="true" outlineLevel="0" collapsed="false">
      <c r="B23" s="50"/>
      <c r="C23" s="50"/>
      <c r="D23" s="50"/>
      <c r="E23" s="50"/>
    </row>
    <row r="24" customFormat="false" ht="18" hidden="false" customHeight="true" outlineLevel="0" collapsed="false">
      <c r="B24" s="50"/>
      <c r="C24" s="50"/>
      <c r="D24" s="50"/>
      <c r="E24" s="50"/>
    </row>
    <row r="25" customFormat="false" ht="15.75" hidden="false" customHeight="true" outlineLevel="0" collapsed="false">
      <c r="B25" s="48" t="s">
        <v>194</v>
      </c>
      <c r="C25" s="48"/>
      <c r="D25" s="48"/>
      <c r="E25" s="48"/>
    </row>
    <row r="26" customFormat="false" ht="15.75" hidden="false" customHeight="true" outlineLevel="0" collapsed="false">
      <c r="B26" s="48"/>
      <c r="C26" s="48"/>
      <c r="D26" s="48"/>
      <c r="E26" s="48"/>
    </row>
    <row r="27" customFormat="false" ht="9.75" hidden="false" customHeight="true" outlineLevel="0" collapsed="false"/>
    <row r="28" customFormat="false" ht="25.5" hidden="false" customHeight="true" outlineLevel="0" collapsed="false">
      <c r="B28" s="45" t="s">
        <v>195</v>
      </c>
      <c r="C28" s="45"/>
      <c r="D28" s="45"/>
      <c r="E28" s="45"/>
    </row>
    <row r="29" customFormat="false" ht="18" hidden="false" customHeight="true" outlineLevel="0" collapsed="false">
      <c r="B29" s="39" t="s">
        <v>196</v>
      </c>
      <c r="C29" s="39"/>
      <c r="D29" s="39"/>
      <c r="E29" s="39"/>
    </row>
    <row r="30" customFormat="false" ht="18" hidden="false" customHeight="true" outlineLevel="0" collapsed="false">
      <c r="B30" s="39"/>
      <c r="C30" s="39"/>
      <c r="D30" s="39"/>
      <c r="E30" s="39"/>
    </row>
    <row r="31" customFormat="false" ht="19.5" hidden="false" customHeight="true" outlineLevel="0" collapsed="false">
      <c r="B31" s="6" t="s">
        <v>197</v>
      </c>
      <c r="C31" s="6" t="s">
        <v>198</v>
      </c>
      <c r="D31" s="6" t="s">
        <v>199</v>
      </c>
      <c r="E31" s="6" t="s">
        <v>176</v>
      </c>
    </row>
    <row r="32" customFormat="false" ht="19.5" hidden="false" customHeight="true" outlineLevel="0" collapsed="false">
      <c r="B32" s="11" t="s">
        <v>200</v>
      </c>
      <c r="C32" s="41"/>
      <c r="D32" s="52" t="s">
        <v>201</v>
      </c>
      <c r="E32" s="53" t="s">
        <v>202</v>
      </c>
    </row>
    <row r="33" customFormat="false" ht="19.5" hidden="false" customHeight="true" outlineLevel="0" collapsed="false">
      <c r="B33" s="8" t="s">
        <v>203</v>
      </c>
      <c r="C33" s="41"/>
      <c r="D33" s="54" t="s">
        <v>204</v>
      </c>
      <c r="E33" s="55" t="s">
        <v>202</v>
      </c>
    </row>
    <row r="34" customFormat="false" ht="19.5" hidden="false" customHeight="true" outlineLevel="0" collapsed="false">
      <c r="B34" s="11" t="s">
        <v>205</v>
      </c>
      <c r="C34" s="41"/>
      <c r="D34" s="52" t="s">
        <v>206</v>
      </c>
      <c r="E34" s="53" t="s">
        <v>202</v>
      </c>
    </row>
    <row r="35" customFormat="false" ht="19.5" hidden="false" customHeight="true" outlineLevel="0" collapsed="false">
      <c r="B35" s="8" t="s">
        <v>207</v>
      </c>
      <c r="C35" s="41"/>
      <c r="D35" s="54" t="s">
        <v>208</v>
      </c>
      <c r="E35" s="55" t="s">
        <v>202</v>
      </c>
    </row>
  </sheetData>
  <mergeCells count="9">
    <mergeCell ref="B1:F1"/>
    <mergeCell ref="B2:F3"/>
    <mergeCell ref="B5:E5"/>
    <mergeCell ref="B6:E7"/>
    <mergeCell ref="B15:E15"/>
    <mergeCell ref="B16:E17"/>
    <mergeCell ref="B25:E26"/>
    <mergeCell ref="B28:E28"/>
    <mergeCell ref="B29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31.5" hidden="false" customHeight="true" outlineLevel="0" collapsed="false">
      <c r="B1" s="56" t="s">
        <v>209</v>
      </c>
      <c r="C1" s="56"/>
      <c r="D1" s="56"/>
      <c r="E1" s="56"/>
      <c r="F1" s="56"/>
      <c r="G1" s="56"/>
    </row>
    <row r="2" customFormat="false" ht="18" hidden="false" customHeight="true" outlineLevel="0" collapsed="false">
      <c r="B2" s="39" t="s">
        <v>210</v>
      </c>
      <c r="C2" s="39"/>
      <c r="D2" s="39"/>
      <c r="E2" s="39"/>
      <c r="F2" s="39"/>
      <c r="G2" s="39"/>
    </row>
    <row r="3" customFormat="false" ht="18" hidden="false" customHeight="true" outlineLevel="0" collapsed="false">
      <c r="B3" s="39"/>
      <c r="C3" s="39"/>
      <c r="D3" s="39"/>
      <c r="E3" s="39"/>
      <c r="F3" s="39"/>
      <c r="G3" s="39"/>
    </row>
    <row r="4" customFormat="false" ht="12" hidden="false" customHeight="true" outlineLevel="0" collapsed="false"/>
    <row r="5" customFormat="false" ht="21.75" hidden="false" customHeight="true" outlineLevel="0" collapsed="false">
      <c r="B5" s="40" t="s">
        <v>211</v>
      </c>
      <c r="C5" s="40"/>
      <c r="D5" s="40"/>
      <c r="E5" s="40"/>
      <c r="F5" s="40"/>
    </row>
    <row r="6" customFormat="false" ht="18" hidden="false" customHeight="true" outlineLevel="0" collapsed="false">
      <c r="B6" s="6" t="s">
        <v>212</v>
      </c>
      <c r="C6" s="6" t="s">
        <v>213</v>
      </c>
      <c r="D6" s="6" t="s">
        <v>212</v>
      </c>
      <c r="E6" s="6" t="s">
        <v>213</v>
      </c>
      <c r="F6" s="6" t="s">
        <v>212</v>
      </c>
      <c r="G6" s="6" t="s">
        <v>213</v>
      </c>
    </row>
    <row r="7" customFormat="false" ht="19.5" hidden="false" customHeight="true" outlineLevel="0" collapsed="false">
      <c r="B7" s="57" t="s">
        <v>214</v>
      </c>
      <c r="C7" s="41"/>
      <c r="D7" s="57" t="s">
        <v>215</v>
      </c>
      <c r="E7" s="41"/>
    </row>
    <row r="8" customFormat="false" ht="19.5" hidden="false" customHeight="true" outlineLevel="0" collapsed="false">
      <c r="B8" s="57" t="s">
        <v>216</v>
      </c>
      <c r="C8" s="41"/>
      <c r="D8" s="57" t="s">
        <v>217</v>
      </c>
      <c r="E8" s="41"/>
    </row>
    <row r="9" customFormat="false" ht="19.5" hidden="false" customHeight="true" outlineLevel="0" collapsed="false">
      <c r="B9" s="57" t="s">
        <v>218</v>
      </c>
      <c r="C9" s="41"/>
      <c r="D9" s="57" t="s">
        <v>219</v>
      </c>
      <c r="E9" s="41"/>
    </row>
    <row r="10" customFormat="false" ht="12" hidden="false" customHeight="true" outlineLevel="0" collapsed="false"/>
    <row r="11" customFormat="false" ht="21.75" hidden="false" customHeight="true" outlineLevel="0" collapsed="false">
      <c r="B11" s="42" t="s">
        <v>220</v>
      </c>
      <c r="C11" s="42"/>
      <c r="D11" s="42"/>
      <c r="E11" s="42"/>
      <c r="F11" s="42"/>
    </row>
    <row r="12" customFormat="false" ht="18" hidden="false" customHeight="true" outlineLevel="0" collapsed="false">
      <c r="B12" s="39" t="s">
        <v>221</v>
      </c>
      <c r="C12" s="39"/>
      <c r="D12" s="39"/>
      <c r="E12" s="39"/>
      <c r="F12" s="39"/>
      <c r="G12" s="39"/>
    </row>
    <row r="13" customFormat="false" ht="18" hidden="false" customHeight="true" outlineLevel="0" collapsed="false">
      <c r="B13" s="39"/>
      <c r="C13" s="39"/>
      <c r="D13" s="39"/>
      <c r="E13" s="39"/>
      <c r="F13" s="39"/>
      <c r="G13" s="39"/>
    </row>
    <row r="14" customFormat="false" ht="19.5" hidden="false" customHeight="true" outlineLevel="0" collapsed="false">
      <c r="B14" s="6" t="s">
        <v>222</v>
      </c>
      <c r="C14" s="6" t="s">
        <v>223</v>
      </c>
      <c r="D14" s="6"/>
      <c r="E14" s="6" t="s">
        <v>224</v>
      </c>
      <c r="F14" s="6" t="s">
        <v>225</v>
      </c>
    </row>
    <row r="15" customFormat="false" ht="15" hidden="false" customHeight="true" outlineLevel="0" collapsed="false">
      <c r="B15" s="41"/>
      <c r="C15" s="41"/>
      <c r="D15" s="23" t="s">
        <v>226</v>
      </c>
      <c r="E15" s="41"/>
      <c r="F15" s="58" t="s">
        <v>167</v>
      </c>
    </row>
    <row r="16" customFormat="false" ht="18" hidden="false" customHeight="true" outlineLevel="0" collapsed="false">
      <c r="B16" s="50"/>
      <c r="C16" s="50"/>
      <c r="D16" s="50"/>
      <c r="E16" s="50"/>
      <c r="F16" s="50"/>
    </row>
    <row r="17" customFormat="false" ht="18" hidden="false" customHeight="true" outlineLevel="0" collapsed="false">
      <c r="B17" s="50"/>
      <c r="C17" s="50"/>
      <c r="D17" s="50"/>
      <c r="E17" s="50"/>
      <c r="F17" s="50"/>
    </row>
    <row r="18" customFormat="false" ht="18" hidden="false" customHeight="true" outlineLevel="0" collapsed="false">
      <c r="B18" s="50"/>
      <c r="C18" s="50"/>
      <c r="D18" s="50"/>
      <c r="E18" s="50"/>
      <c r="F18" s="50"/>
    </row>
    <row r="19" customFormat="false" ht="18" hidden="false" customHeight="true" outlineLevel="0" collapsed="false">
      <c r="B19" s="50"/>
      <c r="C19" s="50"/>
      <c r="D19" s="50"/>
      <c r="E19" s="50"/>
      <c r="F19" s="50"/>
    </row>
    <row r="20" customFormat="false" ht="18" hidden="false" customHeight="true" outlineLevel="0" collapsed="false">
      <c r="B20" s="50"/>
      <c r="C20" s="50"/>
      <c r="D20" s="50"/>
      <c r="E20" s="50"/>
      <c r="F20" s="50"/>
    </row>
    <row r="21" customFormat="false" ht="18" hidden="false" customHeight="true" outlineLevel="0" collapsed="false">
      <c r="B21" s="50"/>
      <c r="C21" s="50"/>
      <c r="D21" s="50"/>
      <c r="E21" s="50"/>
      <c r="F21" s="50"/>
    </row>
    <row r="22" customFormat="false" ht="18" hidden="false" customHeight="true" outlineLevel="0" collapsed="false">
      <c r="B22" s="50"/>
      <c r="C22" s="50"/>
      <c r="D22" s="50"/>
      <c r="E22" s="50"/>
      <c r="F22" s="50"/>
    </row>
    <row r="23" customFormat="false" ht="12" hidden="false" customHeight="true" outlineLevel="0" collapsed="false"/>
    <row r="24" customFormat="false" ht="21.75" hidden="false" customHeight="true" outlineLevel="0" collapsed="false">
      <c r="B24" s="45" t="s">
        <v>227</v>
      </c>
      <c r="C24" s="45"/>
      <c r="D24" s="45"/>
      <c r="E24" s="45"/>
      <c r="F24" s="45"/>
    </row>
    <row r="25" customFormat="false" ht="18" hidden="false" customHeight="true" outlineLevel="0" collapsed="false">
      <c r="B25" s="39" t="s">
        <v>228</v>
      </c>
      <c r="C25" s="39"/>
      <c r="D25" s="39"/>
      <c r="E25" s="39"/>
      <c r="F25" s="39"/>
      <c r="G25" s="39"/>
    </row>
    <row r="26" customFormat="false" ht="18" hidden="false" customHeight="true" outlineLevel="0" collapsed="false">
      <c r="B26" s="39"/>
      <c r="C26" s="39"/>
      <c r="D26" s="39"/>
      <c r="E26" s="39"/>
      <c r="F26" s="39"/>
      <c r="G26" s="39"/>
    </row>
    <row r="27" customFormat="false" ht="15" hidden="false" customHeight="true" outlineLevel="0" collapsed="false">
      <c r="B27" s="59" t="s">
        <v>229</v>
      </c>
      <c r="C27" s="60" t="s">
        <v>77</v>
      </c>
    </row>
    <row r="28" customFormat="false" ht="19.5" hidden="false" customHeight="true" outlineLevel="0" collapsed="false">
      <c r="B28" s="57" t="s">
        <v>230</v>
      </c>
      <c r="C28" s="41"/>
    </row>
    <row r="29" customFormat="false" ht="19.5" hidden="false" customHeight="true" outlineLevel="0" collapsed="false">
      <c r="B29" s="57" t="s">
        <v>52</v>
      </c>
      <c r="C29" s="41"/>
    </row>
    <row r="30" customFormat="false" ht="19.5" hidden="false" customHeight="true" outlineLevel="0" collapsed="false">
      <c r="B30" s="57" t="s">
        <v>231</v>
      </c>
      <c r="C30" s="41"/>
    </row>
    <row r="31" customFormat="false" ht="19.5" hidden="false" customHeight="true" outlineLevel="0" collapsed="false">
      <c r="B31" s="57" t="s">
        <v>119</v>
      </c>
      <c r="C31" s="41"/>
    </row>
    <row r="32" customFormat="false" ht="19.5" hidden="false" customHeight="true" outlineLevel="0" collapsed="false">
      <c r="B32" s="57" t="s">
        <v>232</v>
      </c>
      <c r="C32" s="41"/>
    </row>
    <row r="33" customFormat="false" ht="19.5" hidden="false" customHeight="true" outlineLevel="0" collapsed="false">
      <c r="B33" s="57" t="s">
        <v>233</v>
      </c>
      <c r="C33" s="41"/>
    </row>
    <row r="34" customFormat="false" ht="19.5" hidden="false" customHeight="true" outlineLevel="0" collapsed="false">
      <c r="B34" s="57" t="s">
        <v>234</v>
      </c>
      <c r="C34" s="41"/>
    </row>
    <row r="35" customFormat="false" ht="12" hidden="false" customHeight="true" outlineLevel="0" collapsed="false"/>
    <row r="36" customFormat="false" ht="21.75" hidden="false" customHeight="true" outlineLevel="0" collapsed="false">
      <c r="B36" s="61" t="s">
        <v>235</v>
      </c>
      <c r="C36" s="61"/>
      <c r="D36" s="61"/>
      <c r="E36" s="61"/>
      <c r="F36" s="61"/>
    </row>
    <row r="37" customFormat="false" ht="18" hidden="false" customHeight="true" outlineLevel="0" collapsed="false">
      <c r="B37" s="39" t="s">
        <v>236</v>
      </c>
      <c r="C37" s="39"/>
      <c r="D37" s="39"/>
      <c r="E37" s="39"/>
      <c r="F37" s="39"/>
      <c r="G37" s="39"/>
    </row>
    <row r="38" customFormat="false" ht="18" hidden="false" customHeight="true" outlineLevel="0" collapsed="false">
      <c r="B38" s="39"/>
      <c r="C38" s="39"/>
      <c r="D38" s="39"/>
      <c r="E38" s="39"/>
      <c r="F38" s="39"/>
      <c r="G38" s="39"/>
    </row>
    <row r="39" customFormat="false" ht="19.5" hidden="false" customHeight="true" outlineLevel="0" collapsed="false">
      <c r="B39" s="62" t="s">
        <v>48</v>
      </c>
      <c r="C39" s="62" t="s">
        <v>50</v>
      </c>
      <c r="D39" s="62" t="s">
        <v>237</v>
      </c>
      <c r="E39" s="62" t="s">
        <v>238</v>
      </c>
      <c r="F39" s="62" t="s">
        <v>57</v>
      </c>
    </row>
    <row r="40" customFormat="false" ht="19.5" hidden="false" customHeight="true" outlineLevel="0" collapsed="false">
      <c r="B40" s="41"/>
      <c r="C40" s="63"/>
      <c r="D40" s="63"/>
      <c r="E40" s="63"/>
      <c r="F40" s="63"/>
    </row>
  </sheetData>
  <mergeCells count="9">
    <mergeCell ref="B1:G1"/>
    <mergeCell ref="B2:G3"/>
    <mergeCell ref="B5:F5"/>
    <mergeCell ref="B11:F11"/>
    <mergeCell ref="B12:G13"/>
    <mergeCell ref="B24:F24"/>
    <mergeCell ref="B25:G26"/>
    <mergeCell ref="B36:F36"/>
    <mergeCell ref="B37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6"/>
    <col collapsed="false" customWidth="true" hidden="false" outlineLevel="0" max="4" min="4" style="1" width="22"/>
    <col collapsed="false" customWidth="true" hidden="false" outlineLevel="0" max="5" min="5" style="1" width="3"/>
  </cols>
  <sheetData>
    <row r="1" customFormat="false" ht="30" hidden="false" customHeight="true" outlineLevel="0" collapsed="false">
      <c r="B1" s="64" t="s">
        <v>239</v>
      </c>
      <c r="C1" s="64"/>
      <c r="D1" s="64"/>
    </row>
    <row r="2" customFormat="false" ht="18" hidden="false" customHeight="true" outlineLevel="0" collapsed="false">
      <c r="B2" s="65" t="s">
        <v>240</v>
      </c>
      <c r="C2" s="65"/>
      <c r="D2" s="65"/>
    </row>
    <row r="3" customFormat="false" ht="18" hidden="false" customHeight="true" outlineLevel="0" collapsed="false">
      <c r="B3" s="65"/>
      <c r="C3" s="65"/>
      <c r="D3" s="65"/>
    </row>
    <row r="4" customFormat="false" ht="9.75" hidden="false" customHeight="true" outlineLevel="0" collapsed="false"/>
    <row r="5" customFormat="false" ht="24" hidden="false" customHeight="true" outlineLevel="0" collapsed="false">
      <c r="B5" s="40" t="s">
        <v>241</v>
      </c>
      <c r="C5" s="40"/>
      <c r="D5" s="40"/>
    </row>
    <row r="6" customFormat="false" ht="18" hidden="false" customHeight="true" outlineLevel="0" collapsed="false">
      <c r="B6" s="6" t="s">
        <v>242</v>
      </c>
      <c r="C6" s="6" t="s">
        <v>243</v>
      </c>
      <c r="D6" s="6" t="s">
        <v>6</v>
      </c>
    </row>
    <row r="7" customFormat="false" ht="19.5" hidden="false" customHeight="true" outlineLevel="0" collapsed="false">
      <c r="B7" s="11" t="s">
        <v>244</v>
      </c>
      <c r="C7" s="66" t="s">
        <v>245</v>
      </c>
      <c r="D7" s="12" t="s">
        <v>246</v>
      </c>
    </row>
    <row r="8" customFormat="false" ht="19.5" hidden="false" customHeight="true" outlineLevel="0" collapsed="false">
      <c r="B8" s="8" t="s">
        <v>247</v>
      </c>
      <c r="C8" s="66" t="s">
        <v>248</v>
      </c>
      <c r="D8" s="9" t="s">
        <v>249</v>
      </c>
    </row>
    <row r="9" customFormat="false" ht="19.5" hidden="false" customHeight="true" outlineLevel="0" collapsed="false">
      <c r="B9" s="11" t="s">
        <v>250</v>
      </c>
      <c r="C9" s="66" t="s">
        <v>251</v>
      </c>
      <c r="D9" s="12" t="s">
        <v>252</v>
      </c>
    </row>
    <row r="10" customFormat="false" ht="19.5" hidden="false" customHeight="true" outlineLevel="0" collapsed="false">
      <c r="B10" s="8" t="s">
        <v>253</v>
      </c>
      <c r="C10" s="66" t="s">
        <v>254</v>
      </c>
      <c r="D10" s="9" t="s">
        <v>255</v>
      </c>
    </row>
    <row r="11" customFormat="false" ht="19.5" hidden="false" customHeight="true" outlineLevel="0" collapsed="false">
      <c r="B11" s="11" t="s">
        <v>256</v>
      </c>
      <c r="C11" s="66" t="s">
        <v>257</v>
      </c>
      <c r="D11" s="12" t="s">
        <v>258</v>
      </c>
    </row>
    <row r="13" customFormat="false" ht="24" hidden="false" customHeight="true" outlineLevel="0" collapsed="false">
      <c r="B13" s="42" t="s">
        <v>259</v>
      </c>
      <c r="C13" s="42"/>
      <c r="D13" s="42"/>
    </row>
    <row r="14" customFormat="false" ht="18" hidden="false" customHeight="true" outlineLevel="0" collapsed="false">
      <c r="B14" s="67" t="s">
        <v>242</v>
      </c>
      <c r="C14" s="67" t="s">
        <v>243</v>
      </c>
      <c r="D14" s="67" t="s">
        <v>6</v>
      </c>
    </row>
    <row r="15" customFormat="false" ht="19.5" hidden="false" customHeight="true" outlineLevel="0" collapsed="false">
      <c r="B15" s="11" t="s">
        <v>260</v>
      </c>
      <c r="C15" s="66" t="s">
        <v>261</v>
      </c>
      <c r="D15" s="12" t="s">
        <v>262</v>
      </c>
    </row>
    <row r="16" customFormat="false" ht="19.5" hidden="false" customHeight="true" outlineLevel="0" collapsed="false">
      <c r="B16" s="8" t="s">
        <v>263</v>
      </c>
      <c r="C16" s="66" t="s">
        <v>264</v>
      </c>
      <c r="D16" s="9" t="s">
        <v>265</v>
      </c>
    </row>
    <row r="17" customFormat="false" ht="19.5" hidden="false" customHeight="true" outlineLevel="0" collapsed="false">
      <c r="B17" s="11" t="s">
        <v>266</v>
      </c>
      <c r="C17" s="66" t="s">
        <v>267</v>
      </c>
      <c r="D17" s="12" t="s">
        <v>268</v>
      </c>
    </row>
    <row r="18" customFormat="false" ht="19.5" hidden="false" customHeight="true" outlineLevel="0" collapsed="false">
      <c r="B18" s="8" t="s">
        <v>269</v>
      </c>
      <c r="C18" s="66" t="s">
        <v>270</v>
      </c>
      <c r="D18" s="9" t="s">
        <v>271</v>
      </c>
    </row>
    <row r="19" customFormat="false" ht="19.5" hidden="false" customHeight="true" outlineLevel="0" collapsed="false">
      <c r="B19" s="11" t="s">
        <v>272</v>
      </c>
      <c r="C19" s="66" t="s">
        <v>273</v>
      </c>
      <c r="D19" s="12" t="s">
        <v>274</v>
      </c>
    </row>
    <row r="21" customFormat="false" ht="24" hidden="false" customHeight="true" outlineLevel="0" collapsed="false">
      <c r="B21" s="68" t="s">
        <v>275</v>
      </c>
      <c r="C21" s="68"/>
      <c r="D21" s="68"/>
    </row>
    <row r="22" customFormat="false" ht="18" hidden="false" customHeight="true" outlineLevel="0" collapsed="false">
      <c r="B22" s="69" t="s">
        <v>242</v>
      </c>
      <c r="C22" s="69" t="s">
        <v>243</v>
      </c>
      <c r="D22" s="69" t="s">
        <v>6</v>
      </c>
    </row>
    <row r="23" customFormat="false" ht="19.5" hidden="false" customHeight="true" outlineLevel="0" collapsed="false">
      <c r="B23" s="11" t="s">
        <v>276</v>
      </c>
      <c r="C23" s="66" t="s">
        <v>277</v>
      </c>
      <c r="D23" s="12" t="s">
        <v>278</v>
      </c>
    </row>
    <row r="24" customFormat="false" ht="19.5" hidden="false" customHeight="true" outlineLevel="0" collapsed="false">
      <c r="B24" s="8" t="s">
        <v>279</v>
      </c>
      <c r="C24" s="66" t="s">
        <v>280</v>
      </c>
      <c r="D24" s="9" t="s">
        <v>281</v>
      </c>
    </row>
    <row r="25" customFormat="false" ht="19.5" hidden="false" customHeight="true" outlineLevel="0" collapsed="false">
      <c r="B25" s="11" t="s">
        <v>282</v>
      </c>
      <c r="C25" s="66" t="s">
        <v>283</v>
      </c>
      <c r="D25" s="12" t="s">
        <v>284</v>
      </c>
    </row>
    <row r="26" customFormat="false" ht="19.5" hidden="false" customHeight="true" outlineLevel="0" collapsed="false">
      <c r="B26" s="8" t="s">
        <v>285</v>
      </c>
      <c r="C26" s="66" t="s">
        <v>286</v>
      </c>
      <c r="D26" s="9" t="s">
        <v>287</v>
      </c>
    </row>
    <row r="27" customFormat="false" ht="19.5" hidden="false" customHeight="true" outlineLevel="0" collapsed="false">
      <c r="B27" s="11" t="s">
        <v>288</v>
      </c>
      <c r="C27" s="66" t="s">
        <v>289</v>
      </c>
      <c r="D27" s="12" t="s">
        <v>290</v>
      </c>
    </row>
    <row r="28" customFormat="false" ht="19.5" hidden="false" customHeight="true" outlineLevel="0" collapsed="false">
      <c r="B28" s="8" t="s">
        <v>291</v>
      </c>
      <c r="C28" s="66" t="s">
        <v>292</v>
      </c>
      <c r="D28" s="9" t="s">
        <v>293</v>
      </c>
    </row>
    <row r="29" customFormat="false" ht="19.5" hidden="false" customHeight="true" outlineLevel="0" collapsed="false">
      <c r="B29" s="11" t="s">
        <v>294</v>
      </c>
      <c r="C29" s="66" t="s">
        <v>295</v>
      </c>
      <c r="D29" s="12" t="s">
        <v>296</v>
      </c>
    </row>
    <row r="30" customFormat="false" ht="19.5" hidden="false" customHeight="true" outlineLevel="0" collapsed="false">
      <c r="B30" s="8" t="s">
        <v>297</v>
      </c>
      <c r="C30" s="66" t="s">
        <v>298</v>
      </c>
      <c r="D30" s="9" t="s">
        <v>299</v>
      </c>
    </row>
    <row r="31" customFormat="false" ht="19.5" hidden="false" customHeight="true" outlineLevel="0" collapsed="false">
      <c r="B31" s="11" t="s">
        <v>300</v>
      </c>
      <c r="C31" s="66" t="s">
        <v>301</v>
      </c>
      <c r="D31" s="12" t="s">
        <v>302</v>
      </c>
    </row>
    <row r="32" customFormat="false" ht="19.5" hidden="false" customHeight="true" outlineLevel="0" collapsed="false">
      <c r="B32" s="8" t="s">
        <v>303</v>
      </c>
      <c r="C32" s="66" t="s">
        <v>304</v>
      </c>
      <c r="D32" s="9" t="s">
        <v>305</v>
      </c>
    </row>
    <row r="33" customFormat="false" ht="19.5" hidden="false" customHeight="true" outlineLevel="0" collapsed="false">
      <c r="B33" s="11" t="s">
        <v>306</v>
      </c>
      <c r="C33" s="66" t="s">
        <v>307</v>
      </c>
      <c r="D33" s="12" t="s">
        <v>308</v>
      </c>
    </row>
    <row r="34" customFormat="false" ht="19.5" hidden="false" customHeight="true" outlineLevel="0" collapsed="false">
      <c r="B34" s="8" t="s">
        <v>309</v>
      </c>
      <c r="C34" s="66" t="s">
        <v>310</v>
      </c>
      <c r="D34" s="9" t="s">
        <v>311</v>
      </c>
    </row>
    <row r="36" customFormat="false" ht="24" hidden="false" customHeight="true" outlineLevel="0" collapsed="false">
      <c r="B36" s="45" t="s">
        <v>312</v>
      </c>
      <c r="C36" s="45"/>
      <c r="D36" s="45"/>
    </row>
    <row r="37" customFormat="false" ht="18" hidden="false" customHeight="true" outlineLevel="0" collapsed="false">
      <c r="B37" s="70" t="s">
        <v>242</v>
      </c>
      <c r="C37" s="70" t="s">
        <v>243</v>
      </c>
      <c r="D37" s="70" t="s">
        <v>6</v>
      </c>
    </row>
    <row r="38" customFormat="false" ht="19.5" hidden="false" customHeight="true" outlineLevel="0" collapsed="false">
      <c r="B38" s="11" t="s">
        <v>313</v>
      </c>
      <c r="C38" s="66" t="s">
        <v>314</v>
      </c>
      <c r="D38" s="12" t="s">
        <v>315</v>
      </c>
    </row>
    <row r="39" customFormat="false" ht="19.5" hidden="false" customHeight="true" outlineLevel="0" collapsed="false">
      <c r="B39" s="8" t="s">
        <v>316</v>
      </c>
      <c r="C39" s="66" t="s">
        <v>317</v>
      </c>
      <c r="D39" s="9" t="s">
        <v>318</v>
      </c>
    </row>
    <row r="40" customFormat="false" ht="19.5" hidden="false" customHeight="true" outlineLevel="0" collapsed="false">
      <c r="B40" s="11" t="s">
        <v>319</v>
      </c>
      <c r="C40" s="66" t="s">
        <v>320</v>
      </c>
      <c r="D40" s="12" t="s">
        <v>321</v>
      </c>
    </row>
    <row r="41" customFormat="false" ht="19.5" hidden="false" customHeight="true" outlineLevel="0" collapsed="false">
      <c r="B41" s="8" t="s">
        <v>322</v>
      </c>
      <c r="C41" s="66" t="s">
        <v>323</v>
      </c>
      <c r="D41" s="9" t="s">
        <v>324</v>
      </c>
    </row>
    <row r="43" customFormat="false" ht="21.75" hidden="false" customHeight="true" outlineLevel="0" collapsed="false">
      <c r="B43" s="71" t="s">
        <v>325</v>
      </c>
      <c r="C43" s="71"/>
      <c r="D43" s="71"/>
    </row>
    <row r="44" customFormat="false" ht="21.75" hidden="false" customHeight="true" outlineLevel="0" collapsed="false">
      <c r="B44" s="71"/>
      <c r="C44" s="71"/>
      <c r="D44" s="71"/>
    </row>
  </sheetData>
  <mergeCells count="7">
    <mergeCell ref="B1:D1"/>
    <mergeCell ref="B2:D3"/>
    <mergeCell ref="B5:D5"/>
    <mergeCell ref="B13:D13"/>
    <mergeCell ref="B21:D21"/>
    <mergeCell ref="B36:D36"/>
    <mergeCell ref="B43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2026-03-21T01:43:02Z</dcterms:created>
  <dc:creator>openpyxl</dc:creator>
  <dc:description/>
  <dc:language>en-US</dc:language>
  <cp:lastModifiedBy/>
  <dcterms:modified xsi:type="dcterms:W3CDTF">2026-03-21T01:44:38Z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