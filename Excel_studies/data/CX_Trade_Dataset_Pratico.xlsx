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as_PDV" sheetId="1" state="visible" r:id="rId3"/>
    <sheet name="Execucao_PDV" sheetId="2" state="visible" r:id="rId4"/>
    <sheet name="Share_Gondola" sheetId="3" state="visible" r:id="rId5"/>
    <sheet name="Dashboard_Resum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<sst xmlns="http://schemas.openxmlformats.org/spreadsheetml/2006/main" count="9409" uniqueCount="181">
  <si>
    <t xml:space="preserve">Cód. PDV</t>
  </si>
  <si>
    <t xml:space="preserve">Nome PDV</t>
  </si>
  <si>
    <t xml:space="preserve">Cidade</t>
  </si>
  <si>
    <t xml:space="preserve">Bairro</t>
  </si>
  <si>
    <t xml:space="preserve">Categoria PDV</t>
  </si>
  <si>
    <t xml:space="preserve">SKU</t>
  </si>
  <si>
    <t xml:space="preserve">Produto</t>
  </si>
  <si>
    <t xml:space="preserve">Categoria</t>
  </si>
  <si>
    <t xml:space="preserve">Custo Unit (R$)</t>
  </si>
  <si>
    <t xml:space="preserve">Preço Venda (R$)</t>
  </si>
  <si>
    <t xml:space="preserve">Mês</t>
  </si>
  <si>
    <t xml:space="preserve">Qtd Vendida</t>
  </si>
  <si>
    <t xml:space="preserve">Sell-Out (R$)</t>
  </si>
  <si>
    <t xml:space="preserve">Custo Total (R$)</t>
  </si>
  <si>
    <t xml:space="preserve">Margem (R$)</t>
  </si>
  <si>
    <t xml:space="preserve">Margem (%)</t>
  </si>
  <si>
    <t xml:space="preserve">PDV-001</t>
  </si>
  <si>
    <t xml:space="preserve">Supermercado Bom Preço</t>
  </si>
  <si>
    <t xml:space="preserve">Recife</t>
  </si>
  <si>
    <t xml:space="preserve">Boa Viagem</t>
  </si>
  <si>
    <t xml:space="preserve">Supermercado</t>
  </si>
  <si>
    <t xml:space="preserve">SKU-001</t>
  </si>
  <si>
    <t xml:space="preserve">Refrigerante Cola 2L</t>
  </si>
  <si>
    <t xml:space="preserve">Bebidas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</si>
  <si>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</si>
  <si>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</si>
  <si>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</si>
  <si>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</si>
  <si>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</si>
  <si>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</si>
  <si>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SKU-002</t>
  </si>
  <si>
    <t xml:space="preserve">Refrigerante Laranja 2L</t>
  </si>
  <si>
    <t xml:space="preserve">SKU-003</t>
  </si>
  <si>
    <t xml:space="preserve">Água Mineral 500ml</t>
  </si>
  <si>
    <t xml:space="preserve">SKU-004</t>
  </si>
  <si>
    <t xml:space="preserve">Suco de Caixinha 1L</t>
  </si>
  <si>
    <t xml:space="preserve">SKU-005</t>
  </si>
  <si>
    <t xml:space="preserve">Cerveja Lata 350ml</t>
  </si>
  <si>
    <t xml:space="preserve">SKU-006</t>
  </si>
  <si>
    <t xml:space="preserve">Energético 473ml</t>
  </si>
  <si>
    <t xml:space="preserve">SKU-007</t>
  </si>
  <si>
    <t xml:space="preserve">Biscoito Recheado 140g</t>
  </si>
  <si>
    <t xml:space="preserve">Alimentos</t>
  </si>
  <si>
    <t xml:space="preserve">SKU-008</t>
  </si>
  <si>
    <t xml:space="preserve">Macarrão Instantâneo 85g</t>
  </si>
  <si>
    <t xml:space="preserve">SKU-009</t>
  </si>
  <si>
    <t xml:space="preserve">Chocolate ao Leite 90g</t>
  </si>
  <si>
    <t xml:space="preserve">SKU-010</t>
  </si>
  <si>
    <t xml:space="preserve">Barra de Cereal 25g</t>
  </si>
  <si>
    <t xml:space="preserve">PDV-002</t>
  </si>
  <si>
    <t xml:space="preserve">Mercado do Zé</t>
  </si>
  <si>
    <t xml:space="preserve">Casa Amarela</t>
  </si>
  <si>
    <t xml:space="preserve">Mercado</t>
  </si>
  <si>
    <t xml:space="preserve">PDV-003</t>
  </si>
  <si>
    <t xml:space="preserve">Atacadão Norte</t>
  </si>
  <si>
    <t xml:space="preserve">Norte</t>
  </si>
  <si>
    <t xml:space="preserve">Atacado</t>
  </si>
  <si>
    <t xml:space="preserve">PDV-004</t>
  </si>
  <si>
    <t xml:space="preserve">Hiper Família</t>
  </si>
  <si>
    <t xml:space="preserve">Caruaru</t>
  </si>
  <si>
    <t xml:space="preserve">Centro</t>
  </si>
  <si>
    <t xml:space="preserve">Hipermercado</t>
  </si>
  <si>
    <t xml:space="preserve">PDV-005</t>
  </si>
  <si>
    <t xml:space="preserve">Mini Box Litoral</t>
  </si>
  <si>
    <t xml:space="preserve">Olinda</t>
  </si>
  <si>
    <t xml:space="preserve">Bairro Novo</t>
  </si>
  <si>
    <t xml:space="preserve">PDV-006</t>
  </si>
  <si>
    <t xml:space="preserve">Supermix</t>
  </si>
  <si>
    <t xml:space="preserve">Imbiribeira</t>
  </si>
  <si>
    <t xml:space="preserve">PDV-007</t>
  </si>
  <si>
    <t xml:space="preserve">Distribuidora PE</t>
  </si>
  <si>
    <t xml:space="preserve">TIP</t>
  </si>
  <si>
    <t xml:space="preserve">PDV-008</t>
  </si>
  <si>
    <t xml:space="preserve">Mercadinho União</t>
  </si>
  <si>
    <t xml:space="preserve">Jaboatão</t>
  </si>
  <si>
    <t xml:space="preserve">PDV-009</t>
  </si>
  <si>
    <t xml:space="preserve">Super K</t>
  </si>
  <si>
    <t xml:space="preserve">Afogados</t>
  </si>
  <si>
    <t xml:space="preserve">PDV-010</t>
  </si>
  <si>
    <t xml:space="preserve">Extra Boa Viagem</t>
  </si>
  <si>
    <t xml:space="preserve">PDV-011</t>
  </si>
  <si>
    <t xml:space="preserve">Mercantil Caruaru</t>
  </si>
  <si>
    <t xml:space="preserve">Vassoural</t>
  </si>
  <si>
    <t xml:space="preserve">PDV-012</t>
  </si>
  <si>
    <t xml:space="preserve">Atacarejo Total</t>
  </si>
  <si>
    <t xml:space="preserve">Curado</t>
  </si>
  <si>
    <t xml:space="preserve">PDV-013</t>
  </si>
  <si>
    <t xml:space="preserve">Supermercado Sol</t>
  </si>
  <si>
    <t xml:space="preserve">Paulista</t>
  </si>
  <si>
    <t xml:space="preserve">PDV-014</t>
  </si>
  <si>
    <t xml:space="preserve">Minimercado Viva</t>
  </si>
  <si>
    <t xml:space="preserve">Várzea</t>
  </si>
  <si>
    <t xml:space="preserve">PDV-015</t>
  </si>
  <si>
    <t xml:space="preserve">Hiper Compre Bem</t>
  </si>
  <si>
    <t xml:space="preserve">São João</t>
  </si>
  <si>
    <t xml:space="preserve">Meta Exposição (fac.)</t>
  </si>
  <si>
    <t xml:space="preserve">Real Exposição (fac.)</t>
  </si>
  <si>
    <t xml:space="preserve">% Execução Exposição</t>
  </si>
  <si>
    <t xml:space="preserve">Tem Ponta de Gôndola?</t>
  </si>
  <si>
    <t xml:space="preserve">Tem Cartazete?</t>
  </si>
  <si>
    <t xml:space="preserve">Tem Precificação Correta?</t>
  </si>
  <si>
    <t xml:space="preserve">Ruptura (SKUs em falta)</t>
  </si>
  <si>
    <t xml:space="preserve">% Ruptura</t>
  </si>
  <si>
    <t xml:space="preserve">Score Execução (0-10)</t>
  </si>
  <si>
    <t xml:space="preserve">Status</t>
  </si>
  <si>
    <t xml:space="preserve">NÃO</t>
  </si>
  <si>
    <t xml:space="preserve">SIM</t>
  </si>
  <si>
    <t xml:space="preserve">Espaço Total Categoria (cm)</t>
  </si>
  <si>
    <t xml:space="preserve">Espaço Marca A (cm)</t>
  </si>
  <si>
    <t xml:space="preserve">Espaço Marca B (cm)</t>
  </si>
  <si>
    <t xml:space="preserve">Espaço Marca C (cm)</t>
  </si>
  <si>
    <t xml:space="preserve">Espaço Outros (cm)</t>
  </si>
  <si>
    <t xml:space="preserve">Share Marca A</t>
  </si>
  <si>
    <t xml:space="preserve">Share Marca B</t>
  </si>
  <si>
    <t xml:space="preserve">Share Marca C</t>
  </si>
  <si>
    <t xml:space="preserve">Share Outros</t>
  </si>
  <si>
    <t xml:space="preserve">Meta Share Marca A</t>
  </si>
  <si>
    <t xml:space="preserve">Gap vs Meta</t>
  </si>
  <si>
    <t xml:space="preserve">🏪 DASHBOARD — CX TRADE | Análise de Performance PDV</t>
  </si>
  <si>
    <t xml:space="preserve">📊 INDICADORES-CHAVE — COMO PRATICAR:</t>
  </si>
  <si>
    <t xml:space="preserve">Nº</t>
  </si>
  <si>
    <t xml:space="preserve">Tema</t>
  </si>
  <si>
    <t xml:space="preserve">Desafio Prático</t>
  </si>
  <si>
    <t xml:space="preserve">DESAFIO 1</t>
  </si>
  <si>
    <t xml:space="preserve">VENDAS</t>
  </si>
  <si>
    <t xml:space="preserve">Qual o TOP 3 produtos por Sell-Out total? Use SOMASE na aba Vendas_PDV.</t>
  </si>
  <si>
    <t xml:space="preserve">DESAFIO 2</t>
  </si>
  <si>
    <t xml:space="preserve">EXECUÇÃO</t>
  </si>
  <si>
    <t xml:space="preserve">Quantos PDVs têm Score de Execução abaixo de 6? Use CONT.SE na aba Execucao_PDV.</t>
  </si>
  <si>
    <t xml:space="preserve">DESAFIO 3</t>
  </si>
  <si>
    <t xml:space="preserve">RUPTURA</t>
  </si>
  <si>
    <t xml:space="preserve">Qual cidade tem a maior taxa média de ruptura? Use MÉDIASE na aba Execucao_PDV.</t>
  </si>
  <si>
    <t xml:space="preserve">DESAFIO 4</t>
  </si>
  <si>
    <t xml:space="preserve">MARGEM</t>
  </si>
  <si>
    <t xml:space="preserve">Calcule a Margem % média por Categoria de Produto. Use MÉDIASE na aba Vendas_PDV.</t>
  </si>
  <si>
    <t xml:space="preserve">DESAFIO 5</t>
  </si>
  <si>
    <t xml:space="preserve">GÔNDOLA</t>
  </si>
  <si>
    <t xml:space="preserve">Quais PDVs estão abaixo da meta de Share de Marca A? Filtre na aba Share_Gondola.</t>
  </si>
  <si>
    <t xml:space="preserve">DESAFIO 6</t>
  </si>
  <si>
    <t xml:space="preserve">SAZONALIDADE</t>
  </si>
  <si>
    <t xml:space="preserve">Crie um gráfico de linha com Sell-Out total por mês. Use a aba Vendas_PDV.</t>
  </si>
  <si>
    <t xml:space="preserve">DESAFIO 7</t>
  </si>
  <si>
    <t xml:space="preserve">TABELA DINÂMICA</t>
  </si>
  <si>
    <t xml:space="preserve">Monte uma Tabela Dinâmica: linhas = Cidade, colunas = Mês, valores = Sell-Out.</t>
  </si>
  <si>
    <t xml:space="preserve">DESAFIO 8</t>
  </si>
  <si>
    <t xml:space="preserve">PDV RANKING</t>
  </si>
  <si>
    <t xml:space="preserve">Ranqueie os PDVs por Score de Execução médio usando MÉDIASE + classificação.</t>
  </si>
  <si>
    <t xml:space="preserve">DESAFIO 9</t>
  </si>
  <si>
    <t xml:space="preserve">CONDICIONAL</t>
  </si>
  <si>
    <t xml:space="preserve">Aplique formatação condicional na coluna Margem% (vermelho &lt;20%, verde &gt;40%).</t>
  </si>
  <si>
    <t xml:space="preserve">DESAFIO 10</t>
  </si>
  <si>
    <t xml:space="preserve">VLOOKUP</t>
  </si>
  <si>
    <t xml:space="preserve">Crie uma consulta de PDV: digita o Cód. PDV e retorna Nome, Cidade e Score médio.</t>
  </si>
  <si>
    <t xml:space="preserve">📌 FUNÇÕES EXCEL MAIS USADAS NO DIA A DIA DO TRADE MARKETING</t>
  </si>
  <si>
    <t xml:space="preserve">Função</t>
  </si>
  <si>
    <t xml:space="preserve">Sintaxe</t>
  </si>
  <si>
    <t xml:space="preserve">Quando Usar no Trade</t>
  </si>
  <si>
    <t xml:space="preserve">SOMASE</t>
  </si>
  <si>
    <t xml:space="preserve">'=somase(intervalo;critério;soma)</t>
  </si>
  <si>
    <t xml:space="preserve">Somar Sell-Out de uma categoria ou PDV específico</t>
  </si>
  <si>
    <t xml:space="preserve">CONT.SE</t>
  </si>
  <si>
    <t xml:space="preserve">'=cont.se(intervalo;critério)</t>
  </si>
  <si>
    <t xml:space="preserve">Contar quantos PDVs estão em Ruptura ou com Score crítico</t>
  </si>
  <si>
    <t xml:space="preserve">MÉDIASE</t>
  </si>
  <si>
    <t xml:space="preserve">'=médiase(intervalo;critério;média)</t>
  </si>
  <si>
    <t xml:space="preserve">Calcular Margem % média por cidade ou produto</t>
  </si>
  <si>
    <t xml:space="preserve">PROCV</t>
  </si>
  <si>
    <t xml:space="preserve">'=procv(valor;tabela;col;0)</t>
  </si>
  <si>
    <t xml:space="preserve">Buscar Nome do PDV ou Preço de Venda pelo código</t>
  </si>
  <si>
    <t xml:space="preserve">SE</t>
  </si>
  <si>
    <t xml:space="preserve">'=se(cond;verdadeiro;falso)</t>
  </si>
  <si>
    <t xml:space="preserve">Classificar PDVs como Ótimo / Regular / Crítico</t>
  </si>
  <si>
    <t xml:space="preserve">MÁXIMO/MÍNIMO</t>
  </si>
  <si>
    <t xml:space="preserve">'=máximo(intervalo)</t>
  </si>
  <si>
    <t xml:space="preserve">Encontrar o melhor e pior PDV em sell-out</t>
  </si>
  <si>
    <t xml:space="preserve">TEXTO</t>
  </si>
  <si>
    <t xml:space="preserve">'=texto(valor;"R$ #.##0,00")</t>
  </si>
  <si>
    <t xml:space="preserve">Formatar valores de Sell-Out para apresentação</t>
  </si>
  <si>
    <t xml:space="preserve">ÍNDICE+CORRESP</t>
  </si>
  <si>
    <t xml:space="preserve">'=índice(col;corresp(val;col;0))</t>
  </si>
  <si>
    <t xml:space="preserve">Busca mais flexível que PROCV — busca em qualquer coluna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</si>
</sst>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1F4E7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BDD7EE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5" min="4" style="1" width="16"/>
    <col collapsed="false" customWidth="true" hidden="false" outlineLevel="0" max="6" min="6" style="1" width="10"/>
    <col collapsed="false" customWidth="true" hidden="false" outlineLevel="0" max="7" min="7" style="1" width="28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8"/>
    <col collapsed="false" customWidth="true" hidden="false" outlineLevel="0" max="11" min="11" style="1" width="8"/>
    <col collapsed="false" customWidth="true" hidden="false" outlineLevel="0" max="12" min="12" style="1" width="14"/>
    <col collapsed="false" customWidth="true" hidden="false" outlineLevel="0" max="14" min="13" style="1" width="16"/>
    <col collapsed="false" customWidth="true" hidden="false" outlineLevel="0" max="15" min="15" style="1" width="14"/>
    <col collapsed="false" customWidth="true" hidden="false" outlineLevel="0" max="16" min="16" style="1" width="12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true" outlineLevel="0" collapsed="false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4" t="n">
        <v>8.99</v>
      </c>
      <c r="J2" s="4" t="n">
        <v>22</v>
      </c>
      <c r="K2" s="3" t="s">
        <v>24</v>
      </c>
      <c r="L2" s="3" t="n">
        <v>77</v>
      </c>
      <c r="M2" s="4" t="n">
        <f aca="false">L2*J2</f>
        <v>1694</v>
      </c>
      <c r="N2" s="4" t="n">
        <f aca="false">L2*I2</f>
        <v>692.23</v>
      </c>
      <c r="O2" s="4" t="n">
        <f aca="false">M2-N2</f>
        <v>1001.77</v>
      </c>
      <c r="P2" s="5" t="n">
        <f aca="false">IFERROR(O2/M2,0)</f>
        <v>0.591363636363636</v>
      </c>
    </row>
    <row r="3" customFormat="false" ht="15" hidden="false" customHeight="tru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7" t="n">
        <v>8.99</v>
      </c>
      <c r="J3" s="7" t="n">
        <v>22</v>
      </c>
      <c r="K3" s="6" t="s">
        <v>25</v>
      </c>
      <c r="L3" s="6" t="n">
        <v>158</v>
      </c>
      <c r="M3" s="7" t="n">
        <f aca="false">L3*J3</f>
        <v>3476</v>
      </c>
      <c r="N3" s="7" t="n">
        <f aca="false">L3*I3</f>
        <v>1420.42</v>
      </c>
      <c r="O3" s="7" t="n">
        <f aca="false">M3-N3</f>
        <v>2055.58</v>
      </c>
      <c r="P3" s="8" t="n">
        <f aca="false">IFERROR(O3/M3,0)</f>
        <v>0.591363636363636</v>
      </c>
    </row>
    <row r="4" customFormat="false" ht="15" hidden="false" customHeight="true" outlineLevel="0" collapsed="false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4" t="n">
        <v>8.99</v>
      </c>
      <c r="J4" s="4" t="n">
        <v>22</v>
      </c>
      <c r="K4" s="3" t="s">
        <v>26</v>
      </c>
      <c r="L4" s="3" t="n">
        <v>152</v>
      </c>
      <c r="M4" s="4" t="n">
        <f aca="false">L4*J4</f>
        <v>3344</v>
      </c>
      <c r="N4" s="4" t="n">
        <f aca="false">L4*I4</f>
        <v>1366.48</v>
      </c>
      <c r="O4" s="4" t="n">
        <f aca="false">M4-N4</f>
        <v>1977.52</v>
      </c>
      <c r="P4" s="5" t="n">
        <f aca="false">IFERROR(O4/M4,0)</f>
        <v>0.591363636363636</v>
      </c>
    </row>
    <row r="5" customFormat="false" ht="15" hidden="false" customHeight="true" outlineLevel="0" collapsed="false">
      <c r="A5" s="6" t="s">
        <v>16</v>
      </c>
      <c r="B5" s="6" t="s">
        <v>17</v>
      </c>
      <c r="C5" s="6" t="s">
        <v>18</v>
      </c>
      <c r="D5" s="6" t="s">
        <v>19</v>
      </c>
      <c r="E5" s="6" t="s">
        <v>20</v>
      </c>
      <c r="F5" s="6" t="s">
        <v>21</v>
      </c>
      <c r="G5" s="6" t="s">
        <v>22</v>
      </c>
      <c r="H5" s="6" t="s">
        <v>23</v>
      </c>
      <c r="I5" s="7" t="n">
        <v>8.99</v>
      </c>
      <c r="J5" s="7" t="n">
        <v>22</v>
      </c>
      <c r="K5" s="6" t="s">
        <v>27</v>
      </c>
      <c r="L5" s="6" t="n">
        <v>93</v>
      </c>
      <c r="M5" s="7" t="n">
        <f aca="false">L5*J5</f>
        <v>2046</v>
      </c>
      <c r="N5" s="7" t="n">
        <f aca="false">L5*I5</f>
        <v>836.07</v>
      </c>
      <c r="O5" s="7" t="n">
        <f aca="false">M5-N5</f>
        <v>1209.93</v>
      </c>
      <c r="P5" s="8" t="n">
        <f aca="false">IFERROR(O5/M5,0)</f>
        <v>0.591363636363636</v>
      </c>
    </row>
    <row r="6" customFormat="false" ht="15" hidden="false" customHeight="true" outlineLevel="0" collapsed="false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4" t="n">
        <v>8.99</v>
      </c>
      <c r="J6" s="4" t="n">
        <v>22</v>
      </c>
      <c r="K6" s="3" t="s">
        <v>28</v>
      </c>
      <c r="L6" s="3" t="n">
        <v>96</v>
      </c>
      <c r="M6" s="4" t="n">
        <f aca="false">L6*J6</f>
        <v>2112</v>
      </c>
      <c r="N6" s="4" t="n">
        <f aca="false">L6*I6</f>
        <v>863.04</v>
      </c>
      <c r="O6" s="4" t="n">
        <f aca="false">M6-N6</f>
        <v>1248.96</v>
      </c>
      <c r="P6" s="5" t="n">
        <f aca="false">IFERROR(O6/M6,0)</f>
        <v>0.591363636363636</v>
      </c>
    </row>
    <row r="7" customFormat="false" ht="15" hidden="false" customHeight="true" outlineLevel="0" collapsed="false">
      <c r="A7" s="6" t="s">
        <v>16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6" t="s">
        <v>22</v>
      </c>
      <c r="H7" s="6" t="s">
        <v>23</v>
      </c>
      <c r="I7" s="7" t="n">
        <v>8.99</v>
      </c>
      <c r="J7" s="7" t="n">
        <v>22</v>
      </c>
      <c r="K7" s="6" t="s">
        <v>29</v>
      </c>
      <c r="L7" s="6" t="n">
        <v>310</v>
      </c>
      <c r="M7" s="7" t="n">
        <f aca="false">L7*J7</f>
        <v>6820</v>
      </c>
      <c r="N7" s="7" t="n">
        <f aca="false">L7*I7</f>
        <v>2786.9</v>
      </c>
      <c r="O7" s="7" t="n">
        <f aca="false">M7-N7</f>
        <v>4033.1</v>
      </c>
      <c r="P7" s="8" t="n">
        <f aca="false">IFERROR(O7/M7,0)</f>
        <v>0.591363636363636</v>
      </c>
    </row>
    <row r="8" customFormat="false" ht="15" hidden="false" customHeight="true" outlineLevel="0" collapsed="false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30</v>
      </c>
      <c r="G8" s="3" t="s">
        <v>31</v>
      </c>
      <c r="H8" s="3" t="s">
        <v>23</v>
      </c>
      <c r="I8" s="4" t="n">
        <v>8.5</v>
      </c>
      <c r="J8" s="4" t="n">
        <v>21</v>
      </c>
      <c r="K8" s="3" t="s">
        <v>24</v>
      </c>
      <c r="L8" s="3" t="n">
        <v>37</v>
      </c>
      <c r="M8" s="4" t="n">
        <f aca="false">L8*J8</f>
        <v>777</v>
      </c>
      <c r="N8" s="4" t="n">
        <f aca="false">L8*I8</f>
        <v>314.5</v>
      </c>
      <c r="O8" s="4" t="n">
        <f aca="false">M8-N8</f>
        <v>462.5</v>
      </c>
      <c r="P8" s="5" t="n">
        <f aca="false">IFERROR(O8/M8,0)</f>
        <v>0.595238095238095</v>
      </c>
    </row>
    <row r="9" customFormat="false" ht="15" hidden="false" customHeight="true" outlineLevel="0" collapsed="false">
      <c r="A9" s="6" t="s">
        <v>16</v>
      </c>
      <c r="B9" s="6" t="s">
        <v>17</v>
      </c>
      <c r="C9" s="6" t="s">
        <v>18</v>
      </c>
      <c r="D9" s="6" t="s">
        <v>19</v>
      </c>
      <c r="E9" s="6" t="s">
        <v>20</v>
      </c>
      <c r="F9" s="6" t="s">
        <v>30</v>
      </c>
      <c r="G9" s="6" t="s">
        <v>31</v>
      </c>
      <c r="H9" s="6" t="s">
        <v>23</v>
      </c>
      <c r="I9" s="7" t="n">
        <v>8.5</v>
      </c>
      <c r="J9" s="7" t="n">
        <v>21</v>
      </c>
      <c r="K9" s="6" t="s">
        <v>25</v>
      </c>
      <c r="L9" s="6" t="n">
        <v>130</v>
      </c>
      <c r="M9" s="7" t="n">
        <f aca="false">L9*J9</f>
        <v>2730</v>
      </c>
      <c r="N9" s="7" t="n">
        <f aca="false">L9*I9</f>
        <v>1105</v>
      </c>
      <c r="O9" s="7" t="n">
        <f aca="false">M9-N9</f>
        <v>1625</v>
      </c>
      <c r="P9" s="8" t="n">
        <f aca="false">IFERROR(O9/M9,0)</f>
        <v>0.595238095238095</v>
      </c>
    </row>
    <row r="10" customFormat="false" ht="15" hidden="false" customHeight="true" outlineLevel="0" collapsed="false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30</v>
      </c>
      <c r="G10" s="3" t="s">
        <v>31</v>
      </c>
      <c r="H10" s="3" t="s">
        <v>23</v>
      </c>
      <c r="I10" s="4" t="n">
        <v>8.5</v>
      </c>
      <c r="J10" s="4" t="n">
        <v>21</v>
      </c>
      <c r="K10" s="3" t="s">
        <v>26</v>
      </c>
      <c r="L10" s="3" t="n">
        <v>325</v>
      </c>
      <c r="M10" s="4" t="n">
        <f aca="false">L10*J10</f>
        <v>6825</v>
      </c>
      <c r="N10" s="4" t="n">
        <f aca="false">L10*I10</f>
        <v>2762.5</v>
      </c>
      <c r="O10" s="4" t="n">
        <f aca="false">M10-N10</f>
        <v>4062.5</v>
      </c>
      <c r="P10" s="5" t="n">
        <f aca="false">IFERROR(O10/M10,0)</f>
        <v>0.595238095238095</v>
      </c>
    </row>
    <row r="11" customFormat="false" ht="15" hidden="false" customHeight="true" outlineLevel="0" collapsed="false">
      <c r="A11" s="6" t="s">
        <v>16</v>
      </c>
      <c r="B11" s="6" t="s">
        <v>17</v>
      </c>
      <c r="C11" s="6" t="s">
        <v>18</v>
      </c>
      <c r="D11" s="6" t="s">
        <v>19</v>
      </c>
      <c r="E11" s="6" t="s">
        <v>20</v>
      </c>
      <c r="F11" s="6" t="s">
        <v>30</v>
      </c>
      <c r="G11" s="6" t="s">
        <v>31</v>
      </c>
      <c r="H11" s="6" t="s">
        <v>23</v>
      </c>
      <c r="I11" s="7" t="n">
        <v>8.5</v>
      </c>
      <c r="J11" s="7" t="n">
        <v>21</v>
      </c>
      <c r="K11" s="6" t="s">
        <v>27</v>
      </c>
      <c r="L11" s="6" t="n">
        <v>52</v>
      </c>
      <c r="M11" s="7" t="n">
        <f aca="false">L11*J11</f>
        <v>1092</v>
      </c>
      <c r="N11" s="7" t="n">
        <f aca="false">L11*I11</f>
        <v>442</v>
      </c>
      <c r="O11" s="7" t="n">
        <f aca="false">M11-N11</f>
        <v>650</v>
      </c>
      <c r="P11" s="8" t="n">
        <f aca="false">IFERROR(O11/M11,0)</f>
        <v>0.595238095238095</v>
      </c>
    </row>
    <row r="12" customFormat="false" ht="15" hidden="false" customHeight="true" outlineLevel="0" collapsed="false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30</v>
      </c>
      <c r="G12" s="3" t="s">
        <v>31</v>
      </c>
      <c r="H12" s="3" t="s">
        <v>23</v>
      </c>
      <c r="I12" s="4" t="n">
        <v>8.5</v>
      </c>
      <c r="J12" s="4" t="n">
        <v>21</v>
      </c>
      <c r="K12" s="3" t="s">
        <v>28</v>
      </c>
      <c r="L12" s="3" t="n">
        <v>167</v>
      </c>
      <c r="M12" s="4" t="n">
        <f aca="false">L12*J12</f>
        <v>3507</v>
      </c>
      <c r="N12" s="4" t="n">
        <f aca="false">L12*I12</f>
        <v>1419.5</v>
      </c>
      <c r="O12" s="4" t="n">
        <f aca="false">M12-N12</f>
        <v>2087.5</v>
      </c>
      <c r="P12" s="5" t="n">
        <f aca="false">IFERROR(O12/M12,0)</f>
        <v>0.595238095238095</v>
      </c>
    </row>
    <row r="13" customFormat="false" ht="15" hidden="false" customHeight="true" outlineLevel="0" collapsed="false">
      <c r="A13" s="6" t="s">
        <v>16</v>
      </c>
      <c r="B13" s="6" t="s">
        <v>17</v>
      </c>
      <c r="C13" s="6" t="s">
        <v>18</v>
      </c>
      <c r="D13" s="6" t="s">
        <v>19</v>
      </c>
      <c r="E13" s="6" t="s">
        <v>20</v>
      </c>
      <c r="F13" s="6" t="s">
        <v>30</v>
      </c>
      <c r="G13" s="6" t="s">
        <v>31</v>
      </c>
      <c r="H13" s="6" t="s">
        <v>23</v>
      </c>
      <c r="I13" s="7" t="n">
        <v>8.5</v>
      </c>
      <c r="J13" s="7" t="n">
        <v>21</v>
      </c>
      <c r="K13" s="6" t="s">
        <v>29</v>
      </c>
      <c r="L13" s="6" t="n">
        <v>314</v>
      </c>
      <c r="M13" s="7" t="n">
        <f aca="false">L13*J13</f>
        <v>6594</v>
      </c>
      <c r="N13" s="7" t="n">
        <f aca="false">L13*I13</f>
        <v>2669</v>
      </c>
      <c r="O13" s="7" t="n">
        <f aca="false">M13-N13</f>
        <v>3925</v>
      </c>
      <c r="P13" s="8" t="n">
        <f aca="false">IFERROR(O13/M13,0)</f>
        <v>0.595238095238095</v>
      </c>
    </row>
    <row r="14" customFormat="false" ht="15" hidden="false" customHeight="true" outlineLevel="0" collapsed="false">
      <c r="A14" s="3" t="s">
        <v>16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32</v>
      </c>
      <c r="G14" s="3" t="s">
        <v>33</v>
      </c>
      <c r="H14" s="3" t="s">
        <v>23</v>
      </c>
      <c r="I14" s="4" t="n">
        <v>2.5</v>
      </c>
      <c r="J14" s="4" t="n">
        <v>4.5</v>
      </c>
      <c r="K14" s="3" t="s">
        <v>24</v>
      </c>
      <c r="L14" s="3" t="n">
        <v>267</v>
      </c>
      <c r="M14" s="4" t="n">
        <f aca="false">L14*J14</f>
        <v>1201.5</v>
      </c>
      <c r="N14" s="4" t="n">
        <f aca="false">L14*I14</f>
        <v>667.5</v>
      </c>
      <c r="O14" s="4" t="n">
        <f aca="false">M14-N14</f>
        <v>534</v>
      </c>
      <c r="P14" s="5" t="n">
        <f aca="false">IFERROR(O14/M14,0)</f>
        <v>0.444444444444444</v>
      </c>
    </row>
    <row r="15" customFormat="false" ht="15" hidden="false" customHeight="true" outlineLevel="0" collapsed="false">
      <c r="A15" s="6" t="s">
        <v>16</v>
      </c>
      <c r="B15" s="6" t="s">
        <v>17</v>
      </c>
      <c r="C15" s="6" t="s">
        <v>18</v>
      </c>
      <c r="D15" s="6" t="s">
        <v>19</v>
      </c>
      <c r="E15" s="6" t="s">
        <v>20</v>
      </c>
      <c r="F15" s="6" t="s">
        <v>32</v>
      </c>
      <c r="G15" s="6" t="s">
        <v>33</v>
      </c>
      <c r="H15" s="6" t="s">
        <v>23</v>
      </c>
      <c r="I15" s="7" t="n">
        <v>2.5</v>
      </c>
      <c r="J15" s="7" t="n">
        <v>4.5</v>
      </c>
      <c r="K15" s="6" t="s">
        <v>25</v>
      </c>
      <c r="L15" s="6" t="n">
        <v>153</v>
      </c>
      <c r="M15" s="7" t="n">
        <f aca="false">L15*J15</f>
        <v>688.5</v>
      </c>
      <c r="N15" s="7" t="n">
        <f aca="false">L15*I15</f>
        <v>382.5</v>
      </c>
      <c r="O15" s="7" t="n">
        <f aca="false">M15-N15</f>
        <v>306</v>
      </c>
      <c r="P15" s="8" t="n">
        <f aca="false">IFERROR(O15/M15,0)</f>
        <v>0.444444444444444</v>
      </c>
    </row>
    <row r="16" customFormat="false" ht="15" hidden="false" customHeight="true" outlineLevel="0" collapsed="false">
      <c r="A16" s="3" t="s">
        <v>16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32</v>
      </c>
      <c r="G16" s="3" t="s">
        <v>33</v>
      </c>
      <c r="H16" s="3" t="s">
        <v>23</v>
      </c>
      <c r="I16" s="4" t="n">
        <v>2.5</v>
      </c>
      <c r="J16" s="4" t="n">
        <v>4.5</v>
      </c>
      <c r="K16" s="3" t="s">
        <v>26</v>
      </c>
      <c r="L16" s="3" t="n">
        <v>125</v>
      </c>
      <c r="M16" s="4" t="n">
        <f aca="false">L16*J16</f>
        <v>562.5</v>
      </c>
      <c r="N16" s="4" t="n">
        <f aca="false">L16*I16</f>
        <v>312.5</v>
      </c>
      <c r="O16" s="4" t="n">
        <f aca="false">M16-N16</f>
        <v>250</v>
      </c>
      <c r="P16" s="5" t="n">
        <f aca="false">IFERROR(O16/M16,0)</f>
        <v>0.444444444444444</v>
      </c>
    </row>
    <row r="17" customFormat="false" ht="15" hidden="false" customHeight="true" outlineLevel="0" collapsed="false">
      <c r="A17" s="6" t="s">
        <v>16</v>
      </c>
      <c r="B17" s="6" t="s">
        <v>17</v>
      </c>
      <c r="C17" s="6" t="s">
        <v>18</v>
      </c>
      <c r="D17" s="6" t="s">
        <v>19</v>
      </c>
      <c r="E17" s="6" t="s">
        <v>20</v>
      </c>
      <c r="F17" s="6" t="s">
        <v>32</v>
      </c>
      <c r="G17" s="6" t="s">
        <v>33</v>
      </c>
      <c r="H17" s="6" t="s">
        <v>23</v>
      </c>
      <c r="I17" s="7" t="n">
        <v>2.5</v>
      </c>
      <c r="J17" s="7" t="n">
        <v>4.5</v>
      </c>
      <c r="K17" s="6" t="s">
        <v>27</v>
      </c>
      <c r="L17" s="6" t="n">
        <v>212</v>
      </c>
      <c r="M17" s="7" t="n">
        <f aca="false">L17*J17</f>
        <v>954</v>
      </c>
      <c r="N17" s="7" t="n">
        <f aca="false">L17*I17</f>
        <v>530</v>
      </c>
      <c r="O17" s="7" t="n">
        <f aca="false">M17-N17</f>
        <v>424</v>
      </c>
      <c r="P17" s="8" t="n">
        <f aca="false">IFERROR(O17/M17,0)</f>
        <v>0.444444444444444</v>
      </c>
    </row>
    <row r="18" customFormat="false" ht="15" hidden="false" customHeight="true" outlineLevel="0" collapsed="false">
      <c r="A18" s="3" t="s">
        <v>16</v>
      </c>
      <c r="B18" s="3" t="s">
        <v>17</v>
      </c>
      <c r="C18" s="3" t="s">
        <v>18</v>
      </c>
      <c r="D18" s="3" t="s">
        <v>19</v>
      </c>
      <c r="E18" s="3" t="s">
        <v>20</v>
      </c>
      <c r="F18" s="3" t="s">
        <v>32</v>
      </c>
      <c r="G18" s="3" t="s">
        <v>33</v>
      </c>
      <c r="H18" s="3" t="s">
        <v>23</v>
      </c>
      <c r="I18" s="4" t="n">
        <v>2.5</v>
      </c>
      <c r="J18" s="4" t="n">
        <v>4.5</v>
      </c>
      <c r="K18" s="3" t="s">
        <v>28</v>
      </c>
      <c r="L18" s="3" t="n">
        <v>126</v>
      </c>
      <c r="M18" s="4" t="n">
        <f aca="false">L18*J18</f>
        <v>567</v>
      </c>
      <c r="N18" s="4" t="n">
        <f aca="false">L18*I18</f>
        <v>315</v>
      </c>
      <c r="O18" s="4" t="n">
        <f aca="false">M18-N18</f>
        <v>252</v>
      </c>
      <c r="P18" s="5" t="n">
        <f aca="false">IFERROR(O18/M18,0)</f>
        <v>0.444444444444444</v>
      </c>
    </row>
    <row r="19" customFormat="false" ht="15" hidden="false" customHeight="true" outlineLevel="0" collapsed="false">
      <c r="A19" s="6" t="s">
        <v>16</v>
      </c>
      <c r="B19" s="6" t="s">
        <v>17</v>
      </c>
      <c r="C19" s="6" t="s">
        <v>18</v>
      </c>
      <c r="D19" s="6" t="s">
        <v>19</v>
      </c>
      <c r="E19" s="6" t="s">
        <v>20</v>
      </c>
      <c r="F19" s="6" t="s">
        <v>32</v>
      </c>
      <c r="G19" s="6" t="s">
        <v>33</v>
      </c>
      <c r="H19" s="6" t="s">
        <v>23</v>
      </c>
      <c r="I19" s="7" t="n">
        <v>2.5</v>
      </c>
      <c r="J19" s="7" t="n">
        <v>4.5</v>
      </c>
      <c r="K19" s="6" t="s">
        <v>29</v>
      </c>
      <c r="L19" s="6" t="n">
        <v>255</v>
      </c>
      <c r="M19" s="7" t="n">
        <f aca="false">L19*J19</f>
        <v>1147.5</v>
      </c>
      <c r="N19" s="7" t="n">
        <f aca="false">L19*I19</f>
        <v>637.5</v>
      </c>
      <c r="O19" s="7" t="n">
        <f aca="false">M19-N19</f>
        <v>510</v>
      </c>
      <c r="P19" s="8" t="n">
        <f aca="false">IFERROR(O19/M19,0)</f>
        <v>0.444444444444444</v>
      </c>
    </row>
    <row r="20" customFormat="false" ht="15" hidden="false" customHeight="true" outlineLevel="0" collapsed="false">
      <c r="A20" s="3" t="s">
        <v>16</v>
      </c>
      <c r="B20" s="3" t="s">
        <v>17</v>
      </c>
      <c r="C20" s="3" t="s">
        <v>18</v>
      </c>
      <c r="D20" s="3" t="s">
        <v>19</v>
      </c>
      <c r="E20" s="3" t="s">
        <v>20</v>
      </c>
      <c r="F20" s="3" t="s">
        <v>34</v>
      </c>
      <c r="G20" s="3" t="s">
        <v>35</v>
      </c>
      <c r="H20" s="3" t="s">
        <v>23</v>
      </c>
      <c r="I20" s="4" t="n">
        <v>6</v>
      </c>
      <c r="J20" s="4" t="n">
        <v>12.5</v>
      </c>
      <c r="K20" s="3" t="s">
        <v>24</v>
      </c>
      <c r="L20" s="3" t="n">
        <v>79</v>
      </c>
      <c r="M20" s="4" t="n">
        <f aca="false">L20*J20</f>
        <v>987.5</v>
      </c>
      <c r="N20" s="4" t="n">
        <f aca="false">L20*I20</f>
        <v>474</v>
      </c>
      <c r="O20" s="4" t="n">
        <f aca="false">M20-N20</f>
        <v>513.5</v>
      </c>
      <c r="P20" s="5" t="n">
        <f aca="false">IFERROR(O20/M20,0)</f>
        <v>0.52</v>
      </c>
    </row>
    <row r="21" customFormat="false" ht="15" hidden="false" customHeight="true" outlineLevel="0" collapsed="false">
      <c r="A21" s="6" t="s">
        <v>16</v>
      </c>
      <c r="B21" s="6" t="s">
        <v>17</v>
      </c>
      <c r="C21" s="6" t="s">
        <v>18</v>
      </c>
      <c r="D21" s="6" t="s">
        <v>19</v>
      </c>
      <c r="E21" s="6" t="s">
        <v>20</v>
      </c>
      <c r="F21" s="6" t="s">
        <v>34</v>
      </c>
      <c r="G21" s="6" t="s">
        <v>35</v>
      </c>
      <c r="H21" s="6" t="s">
        <v>23</v>
      </c>
      <c r="I21" s="7" t="n">
        <v>6</v>
      </c>
      <c r="J21" s="7" t="n">
        <v>12.5</v>
      </c>
      <c r="K21" s="6" t="s">
        <v>25</v>
      </c>
      <c r="L21" s="6" t="n">
        <v>76</v>
      </c>
      <c r="M21" s="7" t="n">
        <f aca="false">L21*J21</f>
        <v>950</v>
      </c>
      <c r="N21" s="7" t="n">
        <f aca="false">L21*I21</f>
        <v>456</v>
      </c>
      <c r="O21" s="7" t="n">
        <f aca="false">M21-N21</f>
        <v>494</v>
      </c>
      <c r="P21" s="8" t="n">
        <f aca="false">IFERROR(O21/M21,0)</f>
        <v>0.52</v>
      </c>
    </row>
    <row r="22" customFormat="false" ht="15" hidden="false" customHeight="true" outlineLevel="0" collapsed="false">
      <c r="A22" s="3" t="s">
        <v>16</v>
      </c>
      <c r="B22" s="3" t="s">
        <v>17</v>
      </c>
      <c r="C22" s="3" t="s">
        <v>18</v>
      </c>
      <c r="D22" s="3" t="s">
        <v>19</v>
      </c>
      <c r="E22" s="3" t="s">
        <v>20</v>
      </c>
      <c r="F22" s="3" t="s">
        <v>34</v>
      </c>
      <c r="G22" s="3" t="s">
        <v>35</v>
      </c>
      <c r="H22" s="3" t="s">
        <v>23</v>
      </c>
      <c r="I22" s="4" t="n">
        <v>6</v>
      </c>
      <c r="J22" s="4" t="n">
        <v>12.5</v>
      </c>
      <c r="K22" s="3" t="s">
        <v>26</v>
      </c>
      <c r="L22" s="3" t="n">
        <v>235</v>
      </c>
      <c r="M22" s="4" t="n">
        <f aca="false">L22*J22</f>
        <v>2937.5</v>
      </c>
      <c r="N22" s="4" t="n">
        <f aca="false">L22*I22</f>
        <v>1410</v>
      </c>
      <c r="O22" s="4" t="n">
        <f aca="false">M22-N22</f>
        <v>1527.5</v>
      </c>
      <c r="P22" s="5" t="n">
        <f aca="false">IFERROR(O22/M22,0)</f>
        <v>0.52</v>
      </c>
    </row>
    <row r="23" customFormat="false" ht="15" hidden="false" customHeight="true" outlineLevel="0" collapsed="false">
      <c r="A23" s="6" t="s">
        <v>16</v>
      </c>
      <c r="B23" s="6" t="s">
        <v>17</v>
      </c>
      <c r="C23" s="6" t="s">
        <v>18</v>
      </c>
      <c r="D23" s="6" t="s">
        <v>19</v>
      </c>
      <c r="E23" s="6" t="s">
        <v>20</v>
      </c>
      <c r="F23" s="6" t="s">
        <v>34</v>
      </c>
      <c r="G23" s="6" t="s">
        <v>35</v>
      </c>
      <c r="H23" s="6" t="s">
        <v>23</v>
      </c>
      <c r="I23" s="7" t="n">
        <v>6</v>
      </c>
      <c r="J23" s="7" t="n">
        <v>12.5</v>
      </c>
      <c r="K23" s="6" t="s">
        <v>27</v>
      </c>
      <c r="L23" s="6" t="n">
        <v>164</v>
      </c>
      <c r="M23" s="7" t="n">
        <f aca="false">L23*J23</f>
        <v>2050</v>
      </c>
      <c r="N23" s="7" t="n">
        <f aca="false">L23*I23</f>
        <v>984</v>
      </c>
      <c r="O23" s="7" t="n">
        <f aca="false">M23-N23</f>
        <v>1066</v>
      </c>
      <c r="P23" s="8" t="n">
        <f aca="false">IFERROR(O23/M23,0)</f>
        <v>0.52</v>
      </c>
    </row>
    <row r="24" customFormat="false" ht="15" hidden="false" customHeight="true" outlineLevel="0" collapsed="false">
      <c r="A24" s="3" t="s">
        <v>16</v>
      </c>
      <c r="B24" s="3" t="s">
        <v>17</v>
      </c>
      <c r="C24" s="3" t="s">
        <v>18</v>
      </c>
      <c r="D24" s="3" t="s">
        <v>19</v>
      </c>
      <c r="E24" s="3" t="s">
        <v>20</v>
      </c>
      <c r="F24" s="3" t="s">
        <v>34</v>
      </c>
      <c r="G24" s="3" t="s">
        <v>35</v>
      </c>
      <c r="H24" s="3" t="s">
        <v>23</v>
      </c>
      <c r="I24" s="4" t="n">
        <v>6</v>
      </c>
      <c r="J24" s="4" t="n">
        <v>12.5</v>
      </c>
      <c r="K24" s="3" t="s">
        <v>28</v>
      </c>
      <c r="L24" s="3" t="n">
        <v>325</v>
      </c>
      <c r="M24" s="4" t="n">
        <f aca="false">L24*J24</f>
        <v>4062.5</v>
      </c>
      <c r="N24" s="4" t="n">
        <f aca="false">L24*I24</f>
        <v>1950</v>
      </c>
      <c r="O24" s="4" t="n">
        <f aca="false">M24-N24</f>
        <v>2112.5</v>
      </c>
      <c r="P24" s="5" t="n">
        <f aca="false">IFERROR(O24/M24,0)</f>
        <v>0.52</v>
      </c>
    </row>
    <row r="25" customFormat="false" ht="15" hidden="false" customHeight="true" outlineLevel="0" collapsed="false">
      <c r="A25" s="6" t="s">
        <v>16</v>
      </c>
      <c r="B25" s="6" t="s">
        <v>17</v>
      </c>
      <c r="C25" s="6" t="s">
        <v>18</v>
      </c>
      <c r="D25" s="6" t="s">
        <v>19</v>
      </c>
      <c r="E25" s="6" t="s">
        <v>20</v>
      </c>
      <c r="F25" s="6" t="s">
        <v>34</v>
      </c>
      <c r="G25" s="6" t="s">
        <v>35</v>
      </c>
      <c r="H25" s="6" t="s">
        <v>23</v>
      </c>
      <c r="I25" s="7" t="n">
        <v>6</v>
      </c>
      <c r="J25" s="7" t="n">
        <v>12.5</v>
      </c>
      <c r="K25" s="6" t="s">
        <v>29</v>
      </c>
      <c r="L25" s="6" t="n">
        <v>122</v>
      </c>
      <c r="M25" s="7" t="n">
        <f aca="false">L25*J25</f>
        <v>1525</v>
      </c>
      <c r="N25" s="7" t="n">
        <f aca="false">L25*I25</f>
        <v>732</v>
      </c>
      <c r="O25" s="7" t="n">
        <f aca="false">M25-N25</f>
        <v>793</v>
      </c>
      <c r="P25" s="8" t="n">
        <f aca="false">IFERROR(O25/M25,0)</f>
        <v>0.52</v>
      </c>
    </row>
    <row r="26" customFormat="false" ht="15" hidden="false" customHeight="true" outlineLevel="0" collapsed="false">
      <c r="A26" s="3" t="s">
        <v>16</v>
      </c>
      <c r="B26" s="3" t="s">
        <v>17</v>
      </c>
      <c r="C26" s="3" t="s">
        <v>18</v>
      </c>
      <c r="D26" s="3" t="s">
        <v>19</v>
      </c>
      <c r="E26" s="3" t="s">
        <v>20</v>
      </c>
      <c r="F26" s="3" t="s">
        <v>36</v>
      </c>
      <c r="G26" s="3" t="s">
        <v>37</v>
      </c>
      <c r="H26" s="3" t="s">
        <v>23</v>
      </c>
      <c r="I26" s="4" t="n">
        <v>4.5</v>
      </c>
      <c r="J26" s="4" t="n">
        <v>7</v>
      </c>
      <c r="K26" s="3" t="s">
        <v>24</v>
      </c>
      <c r="L26" s="3" t="n">
        <v>77</v>
      </c>
      <c r="M26" s="4" t="n">
        <f aca="false">L26*J26</f>
        <v>539</v>
      </c>
      <c r="N26" s="4" t="n">
        <f aca="false">L26*I26</f>
        <v>346.5</v>
      </c>
      <c r="O26" s="4" t="n">
        <f aca="false">M26-N26</f>
        <v>192.5</v>
      </c>
      <c r="P26" s="5" t="n">
        <f aca="false">IFERROR(O26/M26,0)</f>
        <v>0.357142857142857</v>
      </c>
    </row>
    <row r="27" customFormat="false" ht="15" hidden="false" customHeight="true" outlineLevel="0" collapsed="false">
      <c r="A27" s="6" t="s">
        <v>16</v>
      </c>
      <c r="B27" s="6" t="s">
        <v>17</v>
      </c>
      <c r="C27" s="6" t="s">
        <v>18</v>
      </c>
      <c r="D27" s="6" t="s">
        <v>19</v>
      </c>
      <c r="E27" s="6" t="s">
        <v>20</v>
      </c>
      <c r="F27" s="6" t="s">
        <v>36</v>
      </c>
      <c r="G27" s="6" t="s">
        <v>37</v>
      </c>
      <c r="H27" s="6" t="s">
        <v>23</v>
      </c>
      <c r="I27" s="7" t="n">
        <v>4.5</v>
      </c>
      <c r="J27" s="7" t="n">
        <v>7</v>
      </c>
      <c r="K27" s="6" t="s">
        <v>25</v>
      </c>
      <c r="L27" s="6" t="n">
        <v>181</v>
      </c>
      <c r="M27" s="7" t="n">
        <f aca="false">L27*J27</f>
        <v>1267</v>
      </c>
      <c r="N27" s="7" t="n">
        <f aca="false">L27*I27</f>
        <v>814.5</v>
      </c>
      <c r="O27" s="7" t="n">
        <f aca="false">M27-N27</f>
        <v>452.5</v>
      </c>
      <c r="P27" s="8" t="n">
        <f aca="false">IFERROR(O27/M27,0)</f>
        <v>0.357142857142857</v>
      </c>
    </row>
    <row r="28" customFormat="false" ht="15" hidden="false" customHeight="true" outlineLevel="0" collapsed="false">
      <c r="A28" s="3" t="s">
        <v>16</v>
      </c>
      <c r="B28" s="3" t="s">
        <v>17</v>
      </c>
      <c r="C28" s="3" t="s">
        <v>18</v>
      </c>
      <c r="D28" s="3" t="s">
        <v>19</v>
      </c>
      <c r="E28" s="3" t="s">
        <v>20</v>
      </c>
      <c r="F28" s="3" t="s">
        <v>36</v>
      </c>
      <c r="G28" s="3" t="s">
        <v>37</v>
      </c>
      <c r="H28" s="3" t="s">
        <v>23</v>
      </c>
      <c r="I28" s="4" t="n">
        <v>4.5</v>
      </c>
      <c r="J28" s="4" t="n">
        <v>7</v>
      </c>
      <c r="K28" s="3" t="s">
        <v>26</v>
      </c>
      <c r="L28" s="3" t="n">
        <v>244</v>
      </c>
      <c r="M28" s="4" t="n">
        <f aca="false">L28*J28</f>
        <v>1708</v>
      </c>
      <c r="N28" s="4" t="n">
        <f aca="false">L28*I28</f>
        <v>1098</v>
      </c>
      <c r="O28" s="4" t="n">
        <f aca="false">M28-N28</f>
        <v>610</v>
      </c>
      <c r="P28" s="5" t="n">
        <f aca="false">IFERROR(O28/M28,0)</f>
        <v>0.357142857142857</v>
      </c>
    </row>
    <row r="29" customFormat="false" ht="15" hidden="false" customHeight="true" outlineLevel="0" collapsed="false">
      <c r="A29" s="6" t="s">
        <v>16</v>
      </c>
      <c r="B29" s="6" t="s">
        <v>17</v>
      </c>
      <c r="C29" s="6" t="s">
        <v>18</v>
      </c>
      <c r="D29" s="6" t="s">
        <v>19</v>
      </c>
      <c r="E29" s="6" t="s">
        <v>20</v>
      </c>
      <c r="F29" s="6" t="s">
        <v>36</v>
      </c>
      <c r="G29" s="6" t="s">
        <v>37</v>
      </c>
      <c r="H29" s="6" t="s">
        <v>23</v>
      </c>
      <c r="I29" s="7" t="n">
        <v>4.5</v>
      </c>
      <c r="J29" s="7" t="n">
        <v>7</v>
      </c>
      <c r="K29" s="6" t="s">
        <v>27</v>
      </c>
      <c r="L29" s="6" t="n">
        <v>126</v>
      </c>
      <c r="M29" s="7" t="n">
        <f aca="false">L29*J29</f>
        <v>882</v>
      </c>
      <c r="N29" s="7" t="n">
        <f aca="false">L29*I29</f>
        <v>567</v>
      </c>
      <c r="O29" s="7" t="n">
        <f aca="false">M29-N29</f>
        <v>315</v>
      </c>
      <c r="P29" s="8" t="n">
        <f aca="false">IFERROR(O29/M29,0)</f>
        <v>0.357142857142857</v>
      </c>
    </row>
    <row r="30" customFormat="false" ht="15" hidden="false" customHeight="true" outlineLevel="0" collapsed="false">
      <c r="A30" s="3" t="s">
        <v>16</v>
      </c>
      <c r="B30" s="3" t="s">
        <v>17</v>
      </c>
      <c r="C30" s="3" t="s">
        <v>18</v>
      </c>
      <c r="D30" s="3" t="s">
        <v>19</v>
      </c>
      <c r="E30" s="3" t="s">
        <v>20</v>
      </c>
      <c r="F30" s="3" t="s">
        <v>36</v>
      </c>
      <c r="G30" s="3" t="s">
        <v>37</v>
      </c>
      <c r="H30" s="3" t="s">
        <v>23</v>
      </c>
      <c r="I30" s="4" t="n">
        <v>4.5</v>
      </c>
      <c r="J30" s="4" t="n">
        <v>7</v>
      </c>
      <c r="K30" s="3" t="s">
        <v>28</v>
      </c>
      <c r="L30" s="3" t="n">
        <v>60</v>
      </c>
      <c r="M30" s="4" t="n">
        <f aca="false">L30*J30</f>
        <v>420</v>
      </c>
      <c r="N30" s="4" t="n">
        <f aca="false">L30*I30</f>
        <v>270</v>
      </c>
      <c r="O30" s="4" t="n">
        <f aca="false">M30-N30</f>
        <v>150</v>
      </c>
      <c r="P30" s="5" t="n">
        <f aca="false">IFERROR(O30/M30,0)</f>
        <v>0.357142857142857</v>
      </c>
    </row>
    <row r="31" customFormat="false" ht="15" hidden="false" customHeight="true" outlineLevel="0" collapsed="false">
      <c r="A31" s="6" t="s">
        <v>16</v>
      </c>
      <c r="B31" s="6" t="s">
        <v>17</v>
      </c>
      <c r="C31" s="6" t="s">
        <v>18</v>
      </c>
      <c r="D31" s="6" t="s">
        <v>19</v>
      </c>
      <c r="E31" s="6" t="s">
        <v>20</v>
      </c>
      <c r="F31" s="6" t="s">
        <v>36</v>
      </c>
      <c r="G31" s="6" t="s">
        <v>37</v>
      </c>
      <c r="H31" s="6" t="s">
        <v>23</v>
      </c>
      <c r="I31" s="7" t="n">
        <v>4.5</v>
      </c>
      <c r="J31" s="7" t="n">
        <v>7</v>
      </c>
      <c r="K31" s="6" t="s">
        <v>29</v>
      </c>
      <c r="L31" s="6" t="n">
        <v>223</v>
      </c>
      <c r="M31" s="7" t="n">
        <f aca="false">L31*J31</f>
        <v>1561</v>
      </c>
      <c r="N31" s="7" t="n">
        <f aca="false">L31*I31</f>
        <v>1003.5</v>
      </c>
      <c r="O31" s="7" t="n">
        <f aca="false">M31-N31</f>
        <v>557.5</v>
      </c>
      <c r="P31" s="8" t="n">
        <f aca="false">IFERROR(O31/M31,0)</f>
        <v>0.357142857142857</v>
      </c>
    </row>
    <row r="32" customFormat="false" ht="15" hidden="false" customHeight="true" outlineLevel="0" collapsed="false">
      <c r="A32" s="3" t="s">
        <v>16</v>
      </c>
      <c r="B32" s="3" t="s">
        <v>17</v>
      </c>
      <c r="C32" s="3" t="s">
        <v>18</v>
      </c>
      <c r="D32" s="3" t="s">
        <v>19</v>
      </c>
      <c r="E32" s="3" t="s">
        <v>20</v>
      </c>
      <c r="F32" s="3" t="s">
        <v>38</v>
      </c>
      <c r="G32" s="3" t="s">
        <v>39</v>
      </c>
      <c r="H32" s="3" t="s">
        <v>23</v>
      </c>
      <c r="I32" s="4" t="n">
        <v>9.9</v>
      </c>
      <c r="J32" s="4" t="n">
        <v>18</v>
      </c>
      <c r="K32" s="3" t="s">
        <v>24</v>
      </c>
      <c r="L32" s="3" t="n">
        <v>142</v>
      </c>
      <c r="M32" s="4" t="n">
        <f aca="false">L32*J32</f>
        <v>2556</v>
      </c>
      <c r="N32" s="4" t="n">
        <f aca="false">L32*I32</f>
        <v>1405.8</v>
      </c>
      <c r="O32" s="4" t="n">
        <f aca="false">M32-N32</f>
        <v>1150.2</v>
      </c>
      <c r="P32" s="5" t="n">
        <f aca="false">IFERROR(O32/M32,0)</f>
        <v>0.45</v>
      </c>
    </row>
    <row r="33" customFormat="false" ht="15" hidden="false" customHeight="true" outlineLevel="0" collapsed="false">
      <c r="A33" s="6" t="s">
        <v>16</v>
      </c>
      <c r="B33" s="6" t="s">
        <v>17</v>
      </c>
      <c r="C33" s="6" t="s">
        <v>18</v>
      </c>
      <c r="D33" s="6" t="s">
        <v>19</v>
      </c>
      <c r="E33" s="6" t="s">
        <v>20</v>
      </c>
      <c r="F33" s="6" t="s">
        <v>38</v>
      </c>
      <c r="G33" s="6" t="s">
        <v>39</v>
      </c>
      <c r="H33" s="6" t="s">
        <v>23</v>
      </c>
      <c r="I33" s="7" t="n">
        <v>9.9</v>
      </c>
      <c r="J33" s="7" t="n">
        <v>18</v>
      </c>
      <c r="K33" s="6" t="s">
        <v>25</v>
      </c>
      <c r="L33" s="6" t="n">
        <v>210</v>
      </c>
      <c r="M33" s="7" t="n">
        <f aca="false">L33*J33</f>
        <v>3780</v>
      </c>
      <c r="N33" s="7" t="n">
        <f aca="false">L33*I33</f>
        <v>2079</v>
      </c>
      <c r="O33" s="7" t="n">
        <f aca="false">M33-N33</f>
        <v>1701</v>
      </c>
      <c r="P33" s="8" t="n">
        <f aca="false">IFERROR(O33/M33,0)</f>
        <v>0.45</v>
      </c>
    </row>
    <row r="34" customFormat="false" ht="15" hidden="false" customHeight="true" outlineLevel="0" collapsed="false">
      <c r="A34" s="3" t="s">
        <v>16</v>
      </c>
      <c r="B34" s="3" t="s">
        <v>17</v>
      </c>
      <c r="C34" s="3" t="s">
        <v>18</v>
      </c>
      <c r="D34" s="3" t="s">
        <v>19</v>
      </c>
      <c r="E34" s="3" t="s">
        <v>20</v>
      </c>
      <c r="F34" s="3" t="s">
        <v>38</v>
      </c>
      <c r="G34" s="3" t="s">
        <v>39</v>
      </c>
      <c r="H34" s="3" t="s">
        <v>23</v>
      </c>
      <c r="I34" s="4" t="n">
        <v>9.9</v>
      </c>
      <c r="J34" s="4" t="n">
        <v>18</v>
      </c>
      <c r="K34" s="3" t="s">
        <v>26</v>
      </c>
      <c r="L34" s="3" t="n">
        <v>298</v>
      </c>
      <c r="M34" s="4" t="n">
        <f aca="false">L34*J34</f>
        <v>5364</v>
      </c>
      <c r="N34" s="4" t="n">
        <f aca="false">L34*I34</f>
        <v>2950.2</v>
      </c>
      <c r="O34" s="4" t="n">
        <f aca="false">M34-N34</f>
        <v>2413.8</v>
      </c>
      <c r="P34" s="5" t="n">
        <f aca="false">IFERROR(O34/M34,0)</f>
        <v>0.45</v>
      </c>
    </row>
    <row r="35" customFormat="false" ht="15" hidden="false" customHeight="true" outlineLevel="0" collapsed="false">
      <c r="A35" s="6" t="s">
        <v>16</v>
      </c>
      <c r="B35" s="6" t="s">
        <v>17</v>
      </c>
      <c r="C35" s="6" t="s">
        <v>18</v>
      </c>
      <c r="D35" s="6" t="s">
        <v>19</v>
      </c>
      <c r="E35" s="6" t="s">
        <v>20</v>
      </c>
      <c r="F35" s="6" t="s">
        <v>38</v>
      </c>
      <c r="G35" s="6" t="s">
        <v>39</v>
      </c>
      <c r="H35" s="6" t="s">
        <v>23</v>
      </c>
      <c r="I35" s="7" t="n">
        <v>9.9</v>
      </c>
      <c r="J35" s="7" t="n">
        <v>18</v>
      </c>
      <c r="K35" s="6" t="s">
        <v>27</v>
      </c>
      <c r="L35" s="6" t="n">
        <v>221</v>
      </c>
      <c r="M35" s="7" t="n">
        <f aca="false">L35*J35</f>
        <v>3978</v>
      </c>
      <c r="N35" s="7" t="n">
        <f aca="false">L35*I35</f>
        <v>2187.9</v>
      </c>
      <c r="O35" s="7" t="n">
        <f aca="false">M35-N35</f>
        <v>1790.1</v>
      </c>
      <c r="P35" s="8" t="n">
        <f aca="false">IFERROR(O35/M35,0)</f>
        <v>0.45</v>
      </c>
    </row>
    <row r="36" customFormat="false" ht="15" hidden="false" customHeight="true" outlineLevel="0" collapsed="false">
      <c r="A36" s="3" t="s">
        <v>16</v>
      </c>
      <c r="B36" s="3" t="s">
        <v>17</v>
      </c>
      <c r="C36" s="3" t="s">
        <v>18</v>
      </c>
      <c r="D36" s="3" t="s">
        <v>19</v>
      </c>
      <c r="E36" s="3" t="s">
        <v>20</v>
      </c>
      <c r="F36" s="3" t="s">
        <v>38</v>
      </c>
      <c r="G36" s="3" t="s">
        <v>39</v>
      </c>
      <c r="H36" s="3" t="s">
        <v>23</v>
      </c>
      <c r="I36" s="4" t="n">
        <v>9.9</v>
      </c>
      <c r="J36" s="4" t="n">
        <v>18</v>
      </c>
      <c r="K36" s="3" t="s">
        <v>28</v>
      </c>
      <c r="L36" s="3" t="n">
        <v>263</v>
      </c>
      <c r="M36" s="4" t="n">
        <f aca="false">L36*J36</f>
        <v>4734</v>
      </c>
      <c r="N36" s="4" t="n">
        <f aca="false">L36*I36</f>
        <v>2603.7</v>
      </c>
      <c r="O36" s="4" t="n">
        <f aca="false">M36-N36</f>
        <v>2130.3</v>
      </c>
      <c r="P36" s="5" t="n">
        <f aca="false">IFERROR(O36/M36,0)</f>
        <v>0.45</v>
      </c>
    </row>
    <row r="37" customFormat="false" ht="15" hidden="false" customHeight="true" outlineLevel="0" collapsed="false">
      <c r="A37" s="6" t="s">
        <v>16</v>
      </c>
      <c r="B37" s="6" t="s">
        <v>17</v>
      </c>
      <c r="C37" s="6" t="s">
        <v>18</v>
      </c>
      <c r="D37" s="6" t="s">
        <v>19</v>
      </c>
      <c r="E37" s="6" t="s">
        <v>20</v>
      </c>
      <c r="F37" s="6" t="s">
        <v>38</v>
      </c>
      <c r="G37" s="6" t="s">
        <v>39</v>
      </c>
      <c r="H37" s="6" t="s">
        <v>23</v>
      </c>
      <c r="I37" s="7" t="n">
        <v>9.9</v>
      </c>
      <c r="J37" s="7" t="n">
        <v>18</v>
      </c>
      <c r="K37" s="6" t="s">
        <v>29</v>
      </c>
      <c r="L37" s="6" t="n">
        <v>176</v>
      </c>
      <c r="M37" s="7" t="n">
        <f aca="false">L37*J37</f>
        <v>3168</v>
      </c>
      <c r="N37" s="7" t="n">
        <f aca="false">L37*I37</f>
        <v>1742.4</v>
      </c>
      <c r="O37" s="7" t="n">
        <f aca="false">M37-N37</f>
        <v>1425.6</v>
      </c>
      <c r="P37" s="8" t="n">
        <f aca="false">IFERROR(O37/M37,0)</f>
        <v>0.45</v>
      </c>
    </row>
    <row r="38" customFormat="false" ht="15" hidden="false" customHeight="true" outlineLevel="0" collapsed="false">
      <c r="A38" s="3" t="s">
        <v>16</v>
      </c>
      <c r="B38" s="3" t="s">
        <v>17</v>
      </c>
      <c r="C38" s="3" t="s">
        <v>18</v>
      </c>
      <c r="D38" s="3" t="s">
        <v>19</v>
      </c>
      <c r="E38" s="3" t="s">
        <v>20</v>
      </c>
      <c r="F38" s="3" t="s">
        <v>40</v>
      </c>
      <c r="G38" s="3" t="s">
        <v>41</v>
      </c>
      <c r="H38" s="3" t="s">
        <v>42</v>
      </c>
      <c r="I38" s="4" t="n">
        <v>3.5</v>
      </c>
      <c r="J38" s="4" t="n">
        <v>6.5</v>
      </c>
      <c r="K38" s="3" t="s">
        <v>24</v>
      </c>
      <c r="L38" s="3" t="n">
        <v>75</v>
      </c>
      <c r="M38" s="4" t="n">
        <f aca="false">L38*J38</f>
        <v>487.5</v>
      </c>
      <c r="N38" s="4" t="n">
        <f aca="false">L38*I38</f>
        <v>262.5</v>
      </c>
      <c r="O38" s="4" t="n">
        <f aca="false">M38-N38</f>
        <v>225</v>
      </c>
      <c r="P38" s="5" t="n">
        <f aca="false">IFERROR(O38/M38,0)</f>
        <v>0.461538461538462</v>
      </c>
    </row>
    <row r="39" customFormat="false" ht="15" hidden="false" customHeight="true" outlineLevel="0" collapsed="false">
      <c r="A39" s="6" t="s">
        <v>16</v>
      </c>
      <c r="B39" s="6" t="s">
        <v>17</v>
      </c>
      <c r="C39" s="6" t="s">
        <v>18</v>
      </c>
      <c r="D39" s="6" t="s">
        <v>19</v>
      </c>
      <c r="E39" s="6" t="s">
        <v>20</v>
      </c>
      <c r="F39" s="6" t="s">
        <v>40</v>
      </c>
      <c r="G39" s="6" t="s">
        <v>41</v>
      </c>
      <c r="H39" s="6" t="s">
        <v>42</v>
      </c>
      <c r="I39" s="7" t="n">
        <v>3.5</v>
      </c>
      <c r="J39" s="7" t="n">
        <v>6.5</v>
      </c>
      <c r="K39" s="6" t="s">
        <v>25</v>
      </c>
      <c r="L39" s="6" t="n">
        <v>118</v>
      </c>
      <c r="M39" s="7" t="n">
        <f aca="false">L39*J39</f>
        <v>767</v>
      </c>
      <c r="N39" s="7" t="n">
        <f aca="false">L39*I39</f>
        <v>413</v>
      </c>
      <c r="O39" s="7" t="n">
        <f aca="false">M39-N39</f>
        <v>354</v>
      </c>
      <c r="P39" s="8" t="n">
        <f aca="false">IFERROR(O39/M39,0)</f>
        <v>0.461538461538462</v>
      </c>
    </row>
    <row r="40" customFormat="false" ht="15" hidden="false" customHeight="true" outlineLevel="0" collapsed="false">
      <c r="A40" s="3" t="s">
        <v>16</v>
      </c>
      <c r="B40" s="3" t="s">
        <v>17</v>
      </c>
      <c r="C40" s="3" t="s">
        <v>18</v>
      </c>
      <c r="D40" s="3" t="s">
        <v>19</v>
      </c>
      <c r="E40" s="3" t="s">
        <v>20</v>
      </c>
      <c r="F40" s="3" t="s">
        <v>40</v>
      </c>
      <c r="G40" s="3" t="s">
        <v>41</v>
      </c>
      <c r="H40" s="3" t="s">
        <v>42</v>
      </c>
      <c r="I40" s="4" t="n">
        <v>3.5</v>
      </c>
      <c r="J40" s="4" t="n">
        <v>6.5</v>
      </c>
      <c r="K40" s="3" t="s">
        <v>26</v>
      </c>
      <c r="L40" s="3" t="n">
        <v>165</v>
      </c>
      <c r="M40" s="4" t="n">
        <f aca="false">L40*J40</f>
        <v>1072.5</v>
      </c>
      <c r="N40" s="4" t="n">
        <f aca="false">L40*I40</f>
        <v>577.5</v>
      </c>
      <c r="O40" s="4" t="n">
        <f aca="false">M40-N40</f>
        <v>495</v>
      </c>
      <c r="P40" s="5" t="n">
        <f aca="false">IFERROR(O40/M40,0)</f>
        <v>0.461538461538462</v>
      </c>
    </row>
    <row r="41" customFormat="false" ht="15" hidden="false" customHeight="true" outlineLevel="0" collapsed="false">
      <c r="A41" s="6" t="s">
        <v>16</v>
      </c>
      <c r="B41" s="6" t="s">
        <v>17</v>
      </c>
      <c r="C41" s="6" t="s">
        <v>18</v>
      </c>
      <c r="D41" s="6" t="s">
        <v>19</v>
      </c>
      <c r="E41" s="6" t="s">
        <v>20</v>
      </c>
      <c r="F41" s="6" t="s">
        <v>40</v>
      </c>
      <c r="G41" s="6" t="s">
        <v>41</v>
      </c>
      <c r="H41" s="6" t="s">
        <v>42</v>
      </c>
      <c r="I41" s="7" t="n">
        <v>3.5</v>
      </c>
      <c r="J41" s="7" t="n">
        <v>6.5</v>
      </c>
      <c r="K41" s="6" t="s">
        <v>27</v>
      </c>
      <c r="L41" s="6" t="n">
        <v>281</v>
      </c>
      <c r="M41" s="7" t="n">
        <f aca="false">L41*J41</f>
        <v>1826.5</v>
      </c>
      <c r="N41" s="7" t="n">
        <f aca="false">L41*I41</f>
        <v>983.5</v>
      </c>
      <c r="O41" s="7" t="n">
        <f aca="false">M41-N41</f>
        <v>843</v>
      </c>
      <c r="P41" s="8" t="n">
        <f aca="false">IFERROR(O41/M41,0)</f>
        <v>0.461538461538462</v>
      </c>
    </row>
    <row r="42" customFormat="false" ht="15" hidden="false" customHeight="true" outlineLevel="0" collapsed="false">
      <c r="A42" s="3" t="s">
        <v>16</v>
      </c>
      <c r="B42" s="3" t="s">
        <v>17</v>
      </c>
      <c r="C42" s="3" t="s">
        <v>18</v>
      </c>
      <c r="D42" s="3" t="s">
        <v>19</v>
      </c>
      <c r="E42" s="3" t="s">
        <v>20</v>
      </c>
      <c r="F42" s="3" t="s">
        <v>40</v>
      </c>
      <c r="G42" s="3" t="s">
        <v>41</v>
      </c>
      <c r="H42" s="3" t="s">
        <v>42</v>
      </c>
      <c r="I42" s="4" t="n">
        <v>3.5</v>
      </c>
      <c r="J42" s="4" t="n">
        <v>6.5</v>
      </c>
      <c r="K42" s="3" t="s">
        <v>28</v>
      </c>
      <c r="L42" s="3" t="n">
        <v>211</v>
      </c>
      <c r="M42" s="4" t="n">
        <f aca="false">L42*J42</f>
        <v>1371.5</v>
      </c>
      <c r="N42" s="4" t="n">
        <f aca="false">L42*I42</f>
        <v>738.5</v>
      </c>
      <c r="O42" s="4" t="n">
        <f aca="false">M42-N42</f>
        <v>633</v>
      </c>
      <c r="P42" s="5" t="n">
        <f aca="false">IFERROR(O42/M42,0)</f>
        <v>0.461538461538462</v>
      </c>
    </row>
    <row r="43" customFormat="false" ht="15" hidden="false" customHeight="true" outlineLevel="0" collapsed="false">
      <c r="A43" s="6" t="s">
        <v>16</v>
      </c>
      <c r="B43" s="6" t="s">
        <v>17</v>
      </c>
      <c r="C43" s="6" t="s">
        <v>18</v>
      </c>
      <c r="D43" s="6" t="s">
        <v>19</v>
      </c>
      <c r="E43" s="6" t="s">
        <v>20</v>
      </c>
      <c r="F43" s="6" t="s">
        <v>40</v>
      </c>
      <c r="G43" s="6" t="s">
        <v>41</v>
      </c>
      <c r="H43" s="6" t="s">
        <v>42</v>
      </c>
      <c r="I43" s="7" t="n">
        <v>3.5</v>
      </c>
      <c r="J43" s="7" t="n">
        <v>6.5</v>
      </c>
      <c r="K43" s="6" t="s">
        <v>29</v>
      </c>
      <c r="L43" s="6" t="n">
        <v>184</v>
      </c>
      <c r="M43" s="7" t="n">
        <f aca="false">L43*J43</f>
        <v>1196</v>
      </c>
      <c r="N43" s="7" t="n">
        <f aca="false">L43*I43</f>
        <v>644</v>
      </c>
      <c r="O43" s="7" t="n">
        <f aca="false">M43-N43</f>
        <v>552</v>
      </c>
      <c r="P43" s="8" t="n">
        <f aca="false">IFERROR(O43/M43,0)</f>
        <v>0.461538461538462</v>
      </c>
    </row>
    <row r="44" customFormat="false" ht="15" hidden="false" customHeight="true" outlineLevel="0" collapsed="false">
      <c r="A44" s="3" t="s">
        <v>16</v>
      </c>
      <c r="B44" s="3" t="s">
        <v>17</v>
      </c>
      <c r="C44" s="3" t="s">
        <v>18</v>
      </c>
      <c r="D44" s="3" t="s">
        <v>19</v>
      </c>
      <c r="E44" s="3" t="s">
        <v>20</v>
      </c>
      <c r="F44" s="3" t="s">
        <v>43</v>
      </c>
      <c r="G44" s="3" t="s">
        <v>44</v>
      </c>
      <c r="H44" s="3" t="s">
        <v>42</v>
      </c>
      <c r="I44" s="4" t="n">
        <v>2</v>
      </c>
      <c r="J44" s="4" t="n">
        <v>3.8</v>
      </c>
      <c r="K44" s="3" t="s">
        <v>24</v>
      </c>
      <c r="L44" s="3" t="n">
        <v>55</v>
      </c>
      <c r="M44" s="4" t="n">
        <f aca="false">L44*J44</f>
        <v>209</v>
      </c>
      <c r="N44" s="4" t="n">
        <f aca="false">L44*I44</f>
        <v>110</v>
      </c>
      <c r="O44" s="4" t="n">
        <f aca="false">M44-N44</f>
        <v>99</v>
      </c>
      <c r="P44" s="5" t="n">
        <f aca="false">IFERROR(O44/M44,0)</f>
        <v>0.473684210526316</v>
      </c>
    </row>
    <row r="45" customFormat="false" ht="15" hidden="false" customHeight="true" outlineLevel="0" collapsed="false">
      <c r="A45" s="6" t="s">
        <v>16</v>
      </c>
      <c r="B45" s="6" t="s">
        <v>17</v>
      </c>
      <c r="C45" s="6" t="s">
        <v>18</v>
      </c>
      <c r="D45" s="6" t="s">
        <v>19</v>
      </c>
      <c r="E45" s="6" t="s">
        <v>20</v>
      </c>
      <c r="F45" s="6" t="s">
        <v>43</v>
      </c>
      <c r="G45" s="6" t="s">
        <v>44</v>
      </c>
      <c r="H45" s="6" t="s">
        <v>42</v>
      </c>
      <c r="I45" s="7" t="n">
        <v>2</v>
      </c>
      <c r="J45" s="7" t="n">
        <v>3.8</v>
      </c>
      <c r="K45" s="6" t="s">
        <v>25</v>
      </c>
      <c r="L45" s="6" t="n">
        <v>43</v>
      </c>
      <c r="M45" s="7" t="n">
        <f aca="false">L45*J45</f>
        <v>163.4</v>
      </c>
      <c r="N45" s="7" t="n">
        <f aca="false">L45*I45</f>
        <v>86</v>
      </c>
      <c r="O45" s="7" t="n">
        <f aca="false">M45-N45</f>
        <v>77.4</v>
      </c>
      <c r="P45" s="8" t="n">
        <f aca="false">IFERROR(O45/M45,0)</f>
        <v>0.473684210526316</v>
      </c>
    </row>
    <row r="46" customFormat="false" ht="15" hidden="false" customHeight="true" outlineLevel="0" collapsed="false">
      <c r="A46" s="3" t="s">
        <v>16</v>
      </c>
      <c r="B46" s="3" t="s">
        <v>17</v>
      </c>
      <c r="C46" s="3" t="s">
        <v>18</v>
      </c>
      <c r="D46" s="3" t="s">
        <v>19</v>
      </c>
      <c r="E46" s="3" t="s">
        <v>20</v>
      </c>
      <c r="F46" s="3" t="s">
        <v>43</v>
      </c>
      <c r="G46" s="3" t="s">
        <v>44</v>
      </c>
      <c r="H46" s="3" t="s">
        <v>42</v>
      </c>
      <c r="I46" s="4" t="n">
        <v>2</v>
      </c>
      <c r="J46" s="4" t="n">
        <v>3.8</v>
      </c>
      <c r="K46" s="3" t="s">
        <v>26</v>
      </c>
      <c r="L46" s="3" t="n">
        <v>256</v>
      </c>
      <c r="M46" s="4" t="n">
        <f aca="false">L46*J46</f>
        <v>972.8</v>
      </c>
      <c r="N46" s="4" t="n">
        <f aca="false">L46*I46</f>
        <v>512</v>
      </c>
      <c r="O46" s="4" t="n">
        <f aca="false">M46-N46</f>
        <v>460.8</v>
      </c>
      <c r="P46" s="5" t="n">
        <f aca="false">IFERROR(O46/M46,0)</f>
        <v>0.473684210526316</v>
      </c>
    </row>
    <row r="47" customFormat="false" ht="15" hidden="false" customHeight="true" outlineLevel="0" collapsed="false">
      <c r="A47" s="6" t="s">
        <v>16</v>
      </c>
      <c r="B47" s="6" t="s">
        <v>17</v>
      </c>
      <c r="C47" s="6" t="s">
        <v>18</v>
      </c>
      <c r="D47" s="6" t="s">
        <v>19</v>
      </c>
      <c r="E47" s="6" t="s">
        <v>20</v>
      </c>
      <c r="F47" s="6" t="s">
        <v>43</v>
      </c>
      <c r="G47" s="6" t="s">
        <v>44</v>
      </c>
      <c r="H47" s="6" t="s">
        <v>42</v>
      </c>
      <c r="I47" s="7" t="n">
        <v>2</v>
      </c>
      <c r="J47" s="7" t="n">
        <v>3.8</v>
      </c>
      <c r="K47" s="6" t="s">
        <v>27</v>
      </c>
      <c r="L47" s="6" t="n">
        <v>62</v>
      </c>
      <c r="M47" s="7" t="n">
        <f aca="false">L47*J47</f>
        <v>235.6</v>
      </c>
      <c r="N47" s="7" t="n">
        <f aca="false">L47*I47</f>
        <v>124</v>
      </c>
      <c r="O47" s="7" t="n">
        <f aca="false">M47-N47</f>
        <v>111.6</v>
      </c>
      <c r="P47" s="8" t="n">
        <f aca="false">IFERROR(O47/M47,0)</f>
        <v>0.473684210526316</v>
      </c>
    </row>
    <row r="48" customFormat="false" ht="15" hidden="false" customHeight="true" outlineLevel="0" collapsed="false">
      <c r="A48" s="3" t="s">
        <v>16</v>
      </c>
      <c r="B48" s="3" t="s">
        <v>17</v>
      </c>
      <c r="C48" s="3" t="s">
        <v>18</v>
      </c>
      <c r="D48" s="3" t="s">
        <v>19</v>
      </c>
      <c r="E48" s="3" t="s">
        <v>20</v>
      </c>
      <c r="F48" s="3" t="s">
        <v>43</v>
      </c>
      <c r="G48" s="3" t="s">
        <v>44</v>
      </c>
      <c r="H48" s="3" t="s">
        <v>42</v>
      </c>
      <c r="I48" s="4" t="n">
        <v>2</v>
      </c>
      <c r="J48" s="4" t="n">
        <v>3.8</v>
      </c>
      <c r="K48" s="3" t="s">
        <v>28</v>
      </c>
      <c r="L48" s="3" t="n">
        <v>225</v>
      </c>
      <c r="M48" s="4" t="n">
        <f aca="false">L48*J48</f>
        <v>855</v>
      </c>
      <c r="N48" s="4" t="n">
        <f aca="false">L48*I48</f>
        <v>450</v>
      </c>
      <c r="O48" s="4" t="n">
        <f aca="false">M48-N48</f>
        <v>405</v>
      </c>
      <c r="P48" s="5" t="n">
        <f aca="false">IFERROR(O48/M48,0)</f>
        <v>0.473684210526316</v>
      </c>
    </row>
    <row r="49" customFormat="false" ht="15" hidden="false" customHeight="true" outlineLevel="0" collapsed="false">
      <c r="A49" s="6" t="s">
        <v>16</v>
      </c>
      <c r="B49" s="6" t="s">
        <v>17</v>
      </c>
      <c r="C49" s="6" t="s">
        <v>18</v>
      </c>
      <c r="D49" s="6" t="s">
        <v>19</v>
      </c>
      <c r="E49" s="6" t="s">
        <v>20</v>
      </c>
      <c r="F49" s="6" t="s">
        <v>43</v>
      </c>
      <c r="G49" s="6" t="s">
        <v>44</v>
      </c>
      <c r="H49" s="6" t="s">
        <v>42</v>
      </c>
      <c r="I49" s="7" t="n">
        <v>2</v>
      </c>
      <c r="J49" s="7" t="n">
        <v>3.8</v>
      </c>
      <c r="K49" s="6" t="s">
        <v>29</v>
      </c>
      <c r="L49" s="6" t="n">
        <v>372</v>
      </c>
      <c r="M49" s="7" t="n">
        <f aca="false">L49*J49</f>
        <v>1413.6</v>
      </c>
      <c r="N49" s="7" t="n">
        <f aca="false">L49*I49</f>
        <v>744</v>
      </c>
      <c r="O49" s="7" t="n">
        <f aca="false">M49-N49</f>
        <v>669.6</v>
      </c>
      <c r="P49" s="8" t="n">
        <f aca="false">IFERROR(O49/M49,0)</f>
        <v>0.473684210526316</v>
      </c>
    </row>
    <row r="50" customFormat="false" ht="15" hidden="false" customHeight="true" outlineLevel="0" collapsed="false">
      <c r="A50" s="3" t="s">
        <v>16</v>
      </c>
      <c r="B50" s="3" t="s">
        <v>17</v>
      </c>
      <c r="C50" s="3" t="s">
        <v>18</v>
      </c>
      <c r="D50" s="3" t="s">
        <v>19</v>
      </c>
      <c r="E50" s="3" t="s">
        <v>20</v>
      </c>
      <c r="F50" s="3" t="s">
        <v>45</v>
      </c>
      <c r="G50" s="3" t="s">
        <v>46</v>
      </c>
      <c r="H50" s="3" t="s">
        <v>42</v>
      </c>
      <c r="I50" s="4" t="n">
        <v>5</v>
      </c>
      <c r="J50" s="4" t="n">
        <v>10</v>
      </c>
      <c r="K50" s="3" t="s">
        <v>24</v>
      </c>
      <c r="L50" s="3" t="n">
        <v>258</v>
      </c>
      <c r="M50" s="4" t="n">
        <f aca="false">L50*J50</f>
        <v>2580</v>
      </c>
      <c r="N50" s="4" t="n">
        <f aca="false">L50*I50</f>
        <v>1290</v>
      </c>
      <c r="O50" s="4" t="n">
        <f aca="false">M50-N50</f>
        <v>1290</v>
      </c>
      <c r="P50" s="5" t="n">
        <f aca="false">IFERROR(O50/M50,0)</f>
        <v>0.5</v>
      </c>
    </row>
    <row r="51" customFormat="false" ht="15" hidden="false" customHeight="true" outlineLevel="0" collapsed="false">
      <c r="A51" s="6" t="s">
        <v>16</v>
      </c>
      <c r="B51" s="6" t="s">
        <v>17</v>
      </c>
      <c r="C51" s="6" t="s">
        <v>18</v>
      </c>
      <c r="D51" s="6" t="s">
        <v>19</v>
      </c>
      <c r="E51" s="6" t="s">
        <v>20</v>
      </c>
      <c r="F51" s="6" t="s">
        <v>45</v>
      </c>
      <c r="G51" s="6" t="s">
        <v>46</v>
      </c>
      <c r="H51" s="6" t="s">
        <v>42</v>
      </c>
      <c r="I51" s="7" t="n">
        <v>5</v>
      </c>
      <c r="J51" s="7" t="n">
        <v>10</v>
      </c>
      <c r="K51" s="6" t="s">
        <v>25</v>
      </c>
      <c r="L51" s="6" t="n">
        <v>150</v>
      </c>
      <c r="M51" s="7" t="n">
        <f aca="false">L51*J51</f>
        <v>1500</v>
      </c>
      <c r="N51" s="7" t="n">
        <f aca="false">L51*I51</f>
        <v>750</v>
      </c>
      <c r="O51" s="7" t="n">
        <f aca="false">M51-N51</f>
        <v>750</v>
      </c>
      <c r="P51" s="8" t="n">
        <f aca="false">IFERROR(O51/M51,0)</f>
        <v>0.5</v>
      </c>
    </row>
    <row r="52" customFormat="false" ht="15" hidden="false" customHeight="true" outlineLevel="0" collapsed="false">
      <c r="A52" s="3" t="s">
        <v>16</v>
      </c>
      <c r="B52" s="3" t="s">
        <v>17</v>
      </c>
      <c r="C52" s="3" t="s">
        <v>18</v>
      </c>
      <c r="D52" s="3" t="s">
        <v>19</v>
      </c>
      <c r="E52" s="3" t="s">
        <v>20</v>
      </c>
      <c r="F52" s="3" t="s">
        <v>45</v>
      </c>
      <c r="G52" s="3" t="s">
        <v>46</v>
      </c>
      <c r="H52" s="3" t="s">
        <v>42</v>
      </c>
      <c r="I52" s="4" t="n">
        <v>5</v>
      </c>
      <c r="J52" s="4" t="n">
        <v>10</v>
      </c>
      <c r="K52" s="3" t="s">
        <v>26</v>
      </c>
      <c r="L52" s="3" t="n">
        <v>178</v>
      </c>
      <c r="M52" s="4" t="n">
        <f aca="false">L52*J52</f>
        <v>1780</v>
      </c>
      <c r="N52" s="4" t="n">
        <f aca="false">L52*I52</f>
        <v>890</v>
      </c>
      <c r="O52" s="4" t="n">
        <f aca="false">M52-N52</f>
        <v>890</v>
      </c>
      <c r="P52" s="5" t="n">
        <f aca="false">IFERROR(O52/M52,0)</f>
        <v>0.5</v>
      </c>
    </row>
    <row r="53" customFormat="false" ht="15" hidden="false" customHeight="true" outlineLevel="0" collapsed="false">
      <c r="A53" s="6" t="s">
        <v>16</v>
      </c>
      <c r="B53" s="6" t="s">
        <v>17</v>
      </c>
      <c r="C53" s="6" t="s">
        <v>18</v>
      </c>
      <c r="D53" s="6" t="s">
        <v>19</v>
      </c>
      <c r="E53" s="6" t="s">
        <v>20</v>
      </c>
      <c r="F53" s="6" t="s">
        <v>45</v>
      </c>
      <c r="G53" s="6" t="s">
        <v>46</v>
      </c>
      <c r="H53" s="6" t="s">
        <v>42</v>
      </c>
      <c r="I53" s="7" t="n">
        <v>5</v>
      </c>
      <c r="J53" s="7" t="n">
        <v>10</v>
      </c>
      <c r="K53" s="6" t="s">
        <v>27</v>
      </c>
      <c r="L53" s="6" t="n">
        <v>180</v>
      </c>
      <c r="M53" s="7" t="n">
        <f aca="false">L53*J53</f>
        <v>1800</v>
      </c>
      <c r="N53" s="7" t="n">
        <f aca="false">L53*I53</f>
        <v>900</v>
      </c>
      <c r="O53" s="7" t="n">
        <f aca="false">M53-N53</f>
        <v>900</v>
      </c>
      <c r="P53" s="8" t="n">
        <f aca="false">IFERROR(O53/M53,0)</f>
        <v>0.5</v>
      </c>
    </row>
    <row r="54" customFormat="false" ht="15" hidden="false" customHeight="true" outlineLevel="0" collapsed="false">
      <c r="A54" s="3" t="s">
        <v>16</v>
      </c>
      <c r="B54" s="3" t="s">
        <v>17</v>
      </c>
      <c r="C54" s="3" t="s">
        <v>18</v>
      </c>
      <c r="D54" s="3" t="s">
        <v>19</v>
      </c>
      <c r="E54" s="3" t="s">
        <v>20</v>
      </c>
      <c r="F54" s="3" t="s">
        <v>45</v>
      </c>
      <c r="G54" s="3" t="s">
        <v>46</v>
      </c>
      <c r="H54" s="3" t="s">
        <v>42</v>
      </c>
      <c r="I54" s="4" t="n">
        <v>5</v>
      </c>
      <c r="J54" s="4" t="n">
        <v>10</v>
      </c>
      <c r="K54" s="3" t="s">
        <v>28</v>
      </c>
      <c r="L54" s="3" t="n">
        <v>306</v>
      </c>
      <c r="M54" s="4" t="n">
        <f aca="false">L54*J54</f>
        <v>3060</v>
      </c>
      <c r="N54" s="4" t="n">
        <f aca="false">L54*I54</f>
        <v>1530</v>
      </c>
      <c r="O54" s="4" t="n">
        <f aca="false">M54-N54</f>
        <v>1530</v>
      </c>
      <c r="P54" s="5" t="n">
        <f aca="false">IFERROR(O54/M54,0)</f>
        <v>0.5</v>
      </c>
    </row>
    <row r="55" customFormat="false" ht="15" hidden="false" customHeight="true" outlineLevel="0" collapsed="false">
      <c r="A55" s="6" t="s">
        <v>16</v>
      </c>
      <c r="B55" s="6" t="s">
        <v>17</v>
      </c>
      <c r="C55" s="6" t="s">
        <v>18</v>
      </c>
      <c r="D55" s="6" t="s">
        <v>19</v>
      </c>
      <c r="E55" s="6" t="s">
        <v>20</v>
      </c>
      <c r="F55" s="6" t="s">
        <v>45</v>
      </c>
      <c r="G55" s="6" t="s">
        <v>46</v>
      </c>
      <c r="H55" s="6" t="s">
        <v>42</v>
      </c>
      <c r="I55" s="7" t="n">
        <v>5</v>
      </c>
      <c r="J55" s="7" t="n">
        <v>10</v>
      </c>
      <c r="K55" s="6" t="s">
        <v>29</v>
      </c>
      <c r="L55" s="6" t="n">
        <v>305</v>
      </c>
      <c r="M55" s="7" t="n">
        <f aca="false">L55*J55</f>
        <v>3050</v>
      </c>
      <c r="N55" s="7" t="n">
        <f aca="false">L55*I55</f>
        <v>1525</v>
      </c>
      <c r="O55" s="7" t="n">
        <f aca="false">M55-N55</f>
        <v>1525</v>
      </c>
      <c r="P55" s="8" t="n">
        <f aca="false">IFERROR(O55/M55,0)</f>
        <v>0.5</v>
      </c>
    </row>
    <row r="56" customFormat="false" ht="15" hidden="false" customHeight="true" outlineLevel="0" collapsed="false">
      <c r="A56" s="3" t="s">
        <v>16</v>
      </c>
      <c r="B56" s="3" t="s">
        <v>17</v>
      </c>
      <c r="C56" s="3" t="s">
        <v>18</v>
      </c>
      <c r="D56" s="3" t="s">
        <v>19</v>
      </c>
      <c r="E56" s="3" t="s">
        <v>20</v>
      </c>
      <c r="F56" s="3" t="s">
        <v>47</v>
      </c>
      <c r="G56" s="3" t="s">
        <v>48</v>
      </c>
      <c r="H56" s="3" t="s">
        <v>42</v>
      </c>
      <c r="I56" s="4" t="n">
        <v>2.8</v>
      </c>
      <c r="J56" s="4" t="n">
        <v>5.5</v>
      </c>
      <c r="K56" s="3" t="s">
        <v>24</v>
      </c>
      <c r="L56" s="3" t="n">
        <v>136</v>
      </c>
      <c r="M56" s="4" t="n">
        <f aca="false">L56*J56</f>
        <v>748</v>
      </c>
      <c r="N56" s="4" t="n">
        <f aca="false">L56*I56</f>
        <v>380.8</v>
      </c>
      <c r="O56" s="4" t="n">
        <f aca="false">M56-N56</f>
        <v>367.2</v>
      </c>
      <c r="P56" s="5" t="n">
        <f aca="false">IFERROR(O56/M56,0)</f>
        <v>0.490909090909091</v>
      </c>
    </row>
    <row r="57" customFormat="false" ht="15" hidden="false" customHeight="true" outlineLevel="0" collapsed="false">
      <c r="A57" s="6" t="s">
        <v>16</v>
      </c>
      <c r="B57" s="6" t="s">
        <v>17</v>
      </c>
      <c r="C57" s="6" t="s">
        <v>18</v>
      </c>
      <c r="D57" s="6" t="s">
        <v>19</v>
      </c>
      <c r="E57" s="6" t="s">
        <v>20</v>
      </c>
      <c r="F57" s="6" t="s">
        <v>47</v>
      </c>
      <c r="G57" s="6" t="s">
        <v>48</v>
      </c>
      <c r="H57" s="6" t="s">
        <v>42</v>
      </c>
      <c r="I57" s="7" t="n">
        <v>2.8</v>
      </c>
      <c r="J57" s="7" t="n">
        <v>5.5</v>
      </c>
      <c r="K57" s="6" t="s">
        <v>25</v>
      </c>
      <c r="L57" s="6" t="n">
        <v>280</v>
      </c>
      <c r="M57" s="7" t="n">
        <f aca="false">L57*J57</f>
        <v>1540</v>
      </c>
      <c r="N57" s="7" t="n">
        <f aca="false">L57*I57</f>
        <v>784</v>
      </c>
      <c r="O57" s="7" t="n">
        <f aca="false">M57-N57</f>
        <v>756</v>
      </c>
      <c r="P57" s="8" t="n">
        <f aca="false">IFERROR(O57/M57,0)</f>
        <v>0.490909090909091</v>
      </c>
    </row>
    <row r="58" customFormat="false" ht="15" hidden="false" customHeight="true" outlineLevel="0" collapsed="false">
      <c r="A58" s="3" t="s">
        <v>16</v>
      </c>
      <c r="B58" s="3" t="s">
        <v>17</v>
      </c>
      <c r="C58" s="3" t="s">
        <v>18</v>
      </c>
      <c r="D58" s="3" t="s">
        <v>19</v>
      </c>
      <c r="E58" s="3" t="s">
        <v>20</v>
      </c>
      <c r="F58" s="3" t="s">
        <v>47</v>
      </c>
      <c r="G58" s="3" t="s">
        <v>48</v>
      </c>
      <c r="H58" s="3" t="s">
        <v>42</v>
      </c>
      <c r="I58" s="4" t="n">
        <v>2.8</v>
      </c>
      <c r="J58" s="4" t="n">
        <v>5.5</v>
      </c>
      <c r="K58" s="3" t="s">
        <v>26</v>
      </c>
      <c r="L58" s="3" t="n">
        <v>74</v>
      </c>
      <c r="M58" s="4" t="n">
        <f aca="false">L58*J58</f>
        <v>407</v>
      </c>
      <c r="N58" s="4" t="n">
        <f aca="false">L58*I58</f>
        <v>207.2</v>
      </c>
      <c r="O58" s="4" t="n">
        <f aca="false">M58-N58</f>
        <v>199.8</v>
      </c>
      <c r="P58" s="5" t="n">
        <f aca="false">IFERROR(O58/M58,0)</f>
        <v>0.490909090909091</v>
      </c>
    </row>
    <row r="59" customFormat="false" ht="15" hidden="false" customHeight="true" outlineLevel="0" collapsed="false">
      <c r="A59" s="6" t="s">
        <v>16</v>
      </c>
      <c r="B59" s="6" t="s">
        <v>17</v>
      </c>
      <c r="C59" s="6" t="s">
        <v>18</v>
      </c>
      <c r="D59" s="6" t="s">
        <v>19</v>
      </c>
      <c r="E59" s="6" t="s">
        <v>20</v>
      </c>
      <c r="F59" s="6" t="s">
        <v>47</v>
      </c>
      <c r="G59" s="6" t="s">
        <v>48</v>
      </c>
      <c r="H59" s="6" t="s">
        <v>42</v>
      </c>
      <c r="I59" s="7" t="n">
        <v>2.8</v>
      </c>
      <c r="J59" s="7" t="n">
        <v>5.5</v>
      </c>
      <c r="K59" s="6" t="s">
        <v>27</v>
      </c>
      <c r="L59" s="6" t="n">
        <v>84</v>
      </c>
      <c r="M59" s="7" t="n">
        <f aca="false">L59*J59</f>
        <v>462</v>
      </c>
      <c r="N59" s="7" t="n">
        <f aca="false">L59*I59</f>
        <v>235.2</v>
      </c>
      <c r="O59" s="7" t="n">
        <f aca="false">M59-N59</f>
        <v>226.8</v>
      </c>
      <c r="P59" s="8" t="n">
        <f aca="false">IFERROR(O59/M59,0)</f>
        <v>0.490909090909091</v>
      </c>
    </row>
    <row r="60" customFormat="false" ht="15" hidden="false" customHeight="true" outlineLevel="0" collapsed="false">
      <c r="A60" s="3" t="s">
        <v>16</v>
      </c>
      <c r="B60" s="3" t="s">
        <v>17</v>
      </c>
      <c r="C60" s="3" t="s">
        <v>18</v>
      </c>
      <c r="D60" s="3" t="s">
        <v>19</v>
      </c>
      <c r="E60" s="3" t="s">
        <v>20</v>
      </c>
      <c r="F60" s="3" t="s">
        <v>47</v>
      </c>
      <c r="G60" s="3" t="s">
        <v>48</v>
      </c>
      <c r="H60" s="3" t="s">
        <v>42</v>
      </c>
      <c r="I60" s="4" t="n">
        <v>2.8</v>
      </c>
      <c r="J60" s="4" t="n">
        <v>5.5</v>
      </c>
      <c r="K60" s="3" t="s">
        <v>28</v>
      </c>
      <c r="L60" s="3" t="n">
        <v>136</v>
      </c>
      <c r="M60" s="4" t="n">
        <f aca="false">L60*J60</f>
        <v>748</v>
      </c>
      <c r="N60" s="4" t="n">
        <f aca="false">L60*I60</f>
        <v>380.8</v>
      </c>
      <c r="O60" s="4" t="n">
        <f aca="false">M60-N60</f>
        <v>367.2</v>
      </c>
      <c r="P60" s="5" t="n">
        <f aca="false">IFERROR(O60/M60,0)</f>
        <v>0.490909090909091</v>
      </c>
    </row>
    <row r="61" customFormat="false" ht="15" hidden="false" customHeight="true" outlineLevel="0" collapsed="false">
      <c r="A61" s="6" t="s">
        <v>16</v>
      </c>
      <c r="B61" s="6" t="s">
        <v>17</v>
      </c>
      <c r="C61" s="6" t="s">
        <v>18</v>
      </c>
      <c r="D61" s="6" t="s">
        <v>19</v>
      </c>
      <c r="E61" s="6" t="s">
        <v>20</v>
      </c>
      <c r="F61" s="6" t="s">
        <v>47</v>
      </c>
      <c r="G61" s="6" t="s">
        <v>48</v>
      </c>
      <c r="H61" s="6" t="s">
        <v>42</v>
      </c>
      <c r="I61" s="7" t="n">
        <v>2.8</v>
      </c>
      <c r="J61" s="7" t="n">
        <v>5.5</v>
      </c>
      <c r="K61" s="6" t="s">
        <v>29</v>
      </c>
      <c r="L61" s="6" t="n">
        <v>82</v>
      </c>
      <c r="M61" s="7" t="n">
        <f aca="false">L61*J61</f>
        <v>451</v>
      </c>
      <c r="N61" s="7" t="n">
        <f aca="false">L61*I61</f>
        <v>229.6</v>
      </c>
      <c r="O61" s="7" t="n">
        <f aca="false">M61-N61</f>
        <v>221.4</v>
      </c>
      <c r="P61" s="8" t="n">
        <f aca="false">IFERROR(O61/M61,0)</f>
        <v>0.490909090909091</v>
      </c>
    </row>
    <row r="62" customFormat="false" ht="15" hidden="false" customHeight="true" outlineLevel="0" collapsed="false">
      <c r="A62" s="3" t="s">
        <v>49</v>
      </c>
      <c r="B62" s="3" t="s">
        <v>50</v>
      </c>
      <c r="C62" s="3" t="s">
        <v>18</v>
      </c>
      <c r="D62" s="3" t="s">
        <v>51</v>
      </c>
      <c r="E62" s="3" t="s">
        <v>52</v>
      </c>
      <c r="F62" s="3" t="s">
        <v>21</v>
      </c>
      <c r="G62" s="3" t="s">
        <v>22</v>
      </c>
      <c r="H62" s="3" t="s">
        <v>23</v>
      </c>
      <c r="I62" s="4" t="n">
        <v>8.99</v>
      </c>
      <c r="J62" s="4" t="n">
        <v>22</v>
      </c>
      <c r="K62" s="3" t="s">
        <v>24</v>
      </c>
      <c r="L62" s="3" t="n">
        <v>234</v>
      </c>
      <c r="M62" s="4" t="n">
        <f aca="false">L62*J62</f>
        <v>5148</v>
      </c>
      <c r="N62" s="4" t="n">
        <f aca="false">L62*I62</f>
        <v>2103.66</v>
      </c>
      <c r="O62" s="4" t="n">
        <f aca="false">M62-N62</f>
        <v>3044.34</v>
      </c>
      <c r="P62" s="5" t="n">
        <f aca="false">IFERROR(O62/M62,0)</f>
        <v>0.591363636363636</v>
      </c>
    </row>
    <row r="63" customFormat="false" ht="15" hidden="false" customHeight="true" outlineLevel="0" collapsed="false">
      <c r="A63" s="6" t="s">
        <v>49</v>
      </c>
      <c r="B63" s="6" t="s">
        <v>50</v>
      </c>
      <c r="C63" s="6" t="s">
        <v>18</v>
      </c>
      <c r="D63" s="6" t="s">
        <v>51</v>
      </c>
      <c r="E63" s="6" t="s">
        <v>52</v>
      </c>
      <c r="F63" s="6" t="s">
        <v>21</v>
      </c>
      <c r="G63" s="6" t="s">
        <v>22</v>
      </c>
      <c r="H63" s="6" t="s">
        <v>23</v>
      </c>
      <c r="I63" s="7" t="n">
        <v>8.99</v>
      </c>
      <c r="J63" s="7" t="n">
        <v>22</v>
      </c>
      <c r="K63" s="6" t="s">
        <v>25</v>
      </c>
      <c r="L63" s="6" t="n">
        <v>261</v>
      </c>
      <c r="M63" s="7" t="n">
        <f aca="false">L63*J63</f>
        <v>5742</v>
      </c>
      <c r="N63" s="7" t="n">
        <f aca="false">L63*I63</f>
        <v>2346.39</v>
      </c>
      <c r="O63" s="7" t="n">
        <f aca="false">M63-N63</f>
        <v>3395.61</v>
      </c>
      <c r="P63" s="8" t="n">
        <f aca="false">IFERROR(O63/M63,0)</f>
        <v>0.591363636363636</v>
      </c>
    </row>
    <row r="64" customFormat="false" ht="15" hidden="false" customHeight="true" outlineLevel="0" collapsed="false">
      <c r="A64" s="3" t="s">
        <v>49</v>
      </c>
      <c r="B64" s="3" t="s">
        <v>50</v>
      </c>
      <c r="C64" s="3" t="s">
        <v>18</v>
      </c>
      <c r="D64" s="3" t="s">
        <v>51</v>
      </c>
      <c r="E64" s="3" t="s">
        <v>52</v>
      </c>
      <c r="F64" s="3" t="s">
        <v>21</v>
      </c>
      <c r="G64" s="3" t="s">
        <v>22</v>
      </c>
      <c r="H64" s="3" t="s">
        <v>23</v>
      </c>
      <c r="I64" s="4" t="n">
        <v>8.99</v>
      </c>
      <c r="J64" s="4" t="n">
        <v>22</v>
      </c>
      <c r="K64" s="3" t="s">
        <v>26</v>
      </c>
      <c r="L64" s="3" t="n">
        <v>180</v>
      </c>
      <c r="M64" s="4" t="n">
        <f aca="false">L64*J64</f>
        <v>3960</v>
      </c>
      <c r="N64" s="4" t="n">
        <f aca="false">L64*I64</f>
        <v>1618.2</v>
      </c>
      <c r="O64" s="4" t="n">
        <f aca="false">M64-N64</f>
        <v>2341.8</v>
      </c>
      <c r="P64" s="5" t="n">
        <f aca="false">IFERROR(O64/M64,0)</f>
        <v>0.591363636363636</v>
      </c>
    </row>
    <row r="65" customFormat="false" ht="15" hidden="false" customHeight="true" outlineLevel="0" collapsed="false">
      <c r="A65" s="6" t="s">
        <v>49</v>
      </c>
      <c r="B65" s="6" t="s">
        <v>50</v>
      </c>
      <c r="C65" s="6" t="s">
        <v>18</v>
      </c>
      <c r="D65" s="6" t="s">
        <v>51</v>
      </c>
      <c r="E65" s="6" t="s">
        <v>52</v>
      </c>
      <c r="F65" s="6" t="s">
        <v>21</v>
      </c>
      <c r="G65" s="6" t="s">
        <v>22</v>
      </c>
      <c r="H65" s="6" t="s">
        <v>23</v>
      </c>
      <c r="I65" s="7" t="n">
        <v>8.99</v>
      </c>
      <c r="J65" s="7" t="n">
        <v>22</v>
      </c>
      <c r="K65" s="6" t="s">
        <v>27</v>
      </c>
      <c r="L65" s="6" t="n">
        <v>29</v>
      </c>
      <c r="M65" s="7" t="n">
        <f aca="false">L65*J65</f>
        <v>638</v>
      </c>
      <c r="N65" s="7" t="n">
        <f aca="false">L65*I65</f>
        <v>260.71</v>
      </c>
      <c r="O65" s="7" t="n">
        <f aca="false">M65-N65</f>
        <v>377.29</v>
      </c>
      <c r="P65" s="8" t="n">
        <f aca="false">IFERROR(O65/M65,0)</f>
        <v>0.591363636363636</v>
      </c>
    </row>
    <row r="66" customFormat="false" ht="15" hidden="false" customHeight="true" outlineLevel="0" collapsed="false">
      <c r="A66" s="3" t="s">
        <v>49</v>
      </c>
      <c r="B66" s="3" t="s">
        <v>50</v>
      </c>
      <c r="C66" s="3" t="s">
        <v>18</v>
      </c>
      <c r="D66" s="3" t="s">
        <v>51</v>
      </c>
      <c r="E66" s="3" t="s">
        <v>52</v>
      </c>
      <c r="F66" s="3" t="s">
        <v>21</v>
      </c>
      <c r="G66" s="3" t="s">
        <v>22</v>
      </c>
      <c r="H66" s="3" t="s">
        <v>23</v>
      </c>
      <c r="I66" s="4" t="n">
        <v>8.99</v>
      </c>
      <c r="J66" s="4" t="n">
        <v>22</v>
      </c>
      <c r="K66" s="3" t="s">
        <v>28</v>
      </c>
      <c r="L66" s="3" t="n">
        <v>209</v>
      </c>
      <c r="M66" s="4" t="n">
        <f aca="false">L66*J66</f>
        <v>4598</v>
      </c>
      <c r="N66" s="4" t="n">
        <f aca="false">L66*I66</f>
        <v>1878.91</v>
      </c>
      <c r="O66" s="4" t="n">
        <f aca="false">M66-N66</f>
        <v>2719.09</v>
      </c>
      <c r="P66" s="5" t="n">
        <f aca="false">IFERROR(O66/M66,0)</f>
        <v>0.591363636363636</v>
      </c>
    </row>
    <row r="67" customFormat="false" ht="15" hidden="false" customHeight="true" outlineLevel="0" collapsed="false">
      <c r="A67" s="6" t="s">
        <v>49</v>
      </c>
      <c r="B67" s="6" t="s">
        <v>50</v>
      </c>
      <c r="C67" s="6" t="s">
        <v>18</v>
      </c>
      <c r="D67" s="6" t="s">
        <v>51</v>
      </c>
      <c r="E67" s="6" t="s">
        <v>52</v>
      </c>
      <c r="F67" s="6" t="s">
        <v>21</v>
      </c>
      <c r="G67" s="6" t="s">
        <v>22</v>
      </c>
      <c r="H67" s="6" t="s">
        <v>23</v>
      </c>
      <c r="I67" s="7" t="n">
        <v>8.99</v>
      </c>
      <c r="J67" s="7" t="n">
        <v>22</v>
      </c>
      <c r="K67" s="6" t="s">
        <v>29</v>
      </c>
      <c r="L67" s="6" t="n">
        <v>258</v>
      </c>
      <c r="M67" s="7" t="n">
        <f aca="false">L67*J67</f>
        <v>5676</v>
      </c>
      <c r="N67" s="7" t="n">
        <f aca="false">L67*I67</f>
        <v>2319.42</v>
      </c>
      <c r="O67" s="7" t="n">
        <f aca="false">M67-N67</f>
        <v>3356.58</v>
      </c>
      <c r="P67" s="8" t="n">
        <f aca="false">IFERROR(O67/M67,0)</f>
        <v>0.591363636363636</v>
      </c>
    </row>
    <row r="68" customFormat="false" ht="15" hidden="false" customHeight="true" outlineLevel="0" collapsed="false">
      <c r="A68" s="3" t="s">
        <v>49</v>
      </c>
      <c r="B68" s="3" t="s">
        <v>50</v>
      </c>
      <c r="C68" s="3" t="s">
        <v>18</v>
      </c>
      <c r="D68" s="3" t="s">
        <v>51</v>
      </c>
      <c r="E68" s="3" t="s">
        <v>52</v>
      </c>
      <c r="F68" s="3" t="s">
        <v>30</v>
      </c>
      <c r="G68" s="3" t="s">
        <v>31</v>
      </c>
      <c r="H68" s="3" t="s">
        <v>23</v>
      </c>
      <c r="I68" s="4" t="n">
        <v>8.5</v>
      </c>
      <c r="J68" s="4" t="n">
        <v>21</v>
      </c>
      <c r="K68" s="3" t="s">
        <v>24</v>
      </c>
      <c r="L68" s="3" t="n">
        <v>183</v>
      </c>
      <c r="M68" s="4" t="n">
        <f aca="false">L68*J68</f>
        <v>3843</v>
      </c>
      <c r="N68" s="4" t="n">
        <f aca="false">L68*I68</f>
        <v>1555.5</v>
      </c>
      <c r="O68" s="4" t="n">
        <f aca="false">M68-N68</f>
        <v>2287.5</v>
      </c>
      <c r="P68" s="5" t="n">
        <f aca="false">IFERROR(O68/M68,0)</f>
        <v>0.595238095238095</v>
      </c>
    </row>
    <row r="69" customFormat="false" ht="15" hidden="false" customHeight="true" outlineLevel="0" collapsed="false">
      <c r="A69" s="6" t="s">
        <v>49</v>
      </c>
      <c r="B69" s="6" t="s">
        <v>50</v>
      </c>
      <c r="C69" s="6" t="s">
        <v>18</v>
      </c>
      <c r="D69" s="6" t="s">
        <v>51</v>
      </c>
      <c r="E69" s="6" t="s">
        <v>52</v>
      </c>
      <c r="F69" s="6" t="s">
        <v>30</v>
      </c>
      <c r="G69" s="6" t="s">
        <v>31</v>
      </c>
      <c r="H69" s="6" t="s">
        <v>23</v>
      </c>
      <c r="I69" s="7" t="n">
        <v>8.5</v>
      </c>
      <c r="J69" s="7" t="n">
        <v>21</v>
      </c>
      <c r="K69" s="6" t="s">
        <v>25</v>
      </c>
      <c r="L69" s="6" t="n">
        <v>108</v>
      </c>
      <c r="M69" s="7" t="n">
        <f aca="false">L69*J69</f>
        <v>2268</v>
      </c>
      <c r="N69" s="7" t="n">
        <f aca="false">L69*I69</f>
        <v>918</v>
      </c>
      <c r="O69" s="7" t="n">
        <f aca="false">M69-N69</f>
        <v>1350</v>
      </c>
      <c r="P69" s="8" t="n">
        <f aca="false">IFERROR(O69/M69,0)</f>
        <v>0.595238095238095</v>
      </c>
    </row>
    <row r="70" customFormat="false" ht="15" hidden="false" customHeight="true" outlineLevel="0" collapsed="false">
      <c r="A70" s="3" t="s">
        <v>49</v>
      </c>
      <c r="B70" s="3" t="s">
        <v>50</v>
      </c>
      <c r="C70" s="3" t="s">
        <v>18</v>
      </c>
      <c r="D70" s="3" t="s">
        <v>51</v>
      </c>
      <c r="E70" s="3" t="s">
        <v>52</v>
      </c>
      <c r="F70" s="3" t="s">
        <v>30</v>
      </c>
      <c r="G70" s="3" t="s">
        <v>31</v>
      </c>
      <c r="H70" s="3" t="s">
        <v>23</v>
      </c>
      <c r="I70" s="4" t="n">
        <v>8.5</v>
      </c>
      <c r="J70" s="4" t="n">
        <v>21</v>
      </c>
      <c r="K70" s="3" t="s">
        <v>26</v>
      </c>
      <c r="L70" s="3" t="n">
        <v>32</v>
      </c>
      <c r="M70" s="4" t="n">
        <f aca="false">L70*J70</f>
        <v>672</v>
      </c>
      <c r="N70" s="4" t="n">
        <f aca="false">L70*I70</f>
        <v>272</v>
      </c>
      <c r="O70" s="4" t="n">
        <f aca="false">M70-N70</f>
        <v>400</v>
      </c>
      <c r="P70" s="5" t="n">
        <f aca="false">IFERROR(O70/M70,0)</f>
        <v>0.595238095238095</v>
      </c>
    </row>
    <row r="71" customFormat="false" ht="15" hidden="false" customHeight="true" outlineLevel="0" collapsed="false">
      <c r="A71" s="6" t="s">
        <v>49</v>
      </c>
      <c r="B71" s="6" t="s">
        <v>50</v>
      </c>
      <c r="C71" s="6" t="s">
        <v>18</v>
      </c>
      <c r="D71" s="6" t="s">
        <v>51</v>
      </c>
      <c r="E71" s="6" t="s">
        <v>52</v>
      </c>
      <c r="F71" s="6" t="s">
        <v>30</v>
      </c>
      <c r="G71" s="6" t="s">
        <v>31</v>
      </c>
      <c r="H71" s="6" t="s">
        <v>23</v>
      </c>
      <c r="I71" s="7" t="n">
        <v>8.5</v>
      </c>
      <c r="J71" s="7" t="n">
        <v>21</v>
      </c>
      <c r="K71" s="6" t="s">
        <v>27</v>
      </c>
      <c r="L71" s="6" t="n">
        <v>295</v>
      </c>
      <c r="M71" s="7" t="n">
        <f aca="false">L71*J71</f>
        <v>6195</v>
      </c>
      <c r="N71" s="7" t="n">
        <f aca="false">L71*I71</f>
        <v>2507.5</v>
      </c>
      <c r="O71" s="7" t="n">
        <f aca="false">M71-N71</f>
        <v>3687.5</v>
      </c>
      <c r="P71" s="8" t="n">
        <f aca="false">IFERROR(O71/M71,0)</f>
        <v>0.595238095238095</v>
      </c>
    </row>
    <row r="72" customFormat="false" ht="15" hidden="false" customHeight="true" outlineLevel="0" collapsed="false">
      <c r="A72" s="3" t="s">
        <v>49</v>
      </c>
      <c r="B72" s="3" t="s">
        <v>50</v>
      </c>
      <c r="C72" s="3" t="s">
        <v>18</v>
      </c>
      <c r="D72" s="3" t="s">
        <v>51</v>
      </c>
      <c r="E72" s="3" t="s">
        <v>52</v>
      </c>
      <c r="F72" s="3" t="s">
        <v>30</v>
      </c>
      <c r="G72" s="3" t="s">
        <v>31</v>
      </c>
      <c r="H72" s="3" t="s">
        <v>23</v>
      </c>
      <c r="I72" s="4" t="n">
        <v>8.5</v>
      </c>
      <c r="J72" s="4" t="n">
        <v>21</v>
      </c>
      <c r="K72" s="3" t="s">
        <v>28</v>
      </c>
      <c r="L72" s="3" t="n">
        <v>339</v>
      </c>
      <c r="M72" s="4" t="n">
        <f aca="false">L72*J72</f>
        <v>7119</v>
      </c>
      <c r="N72" s="4" t="n">
        <f aca="false">L72*I72</f>
        <v>2881.5</v>
      </c>
      <c r="O72" s="4" t="n">
        <f aca="false">M72-N72</f>
        <v>4237.5</v>
      </c>
      <c r="P72" s="5" t="n">
        <f aca="false">IFERROR(O72/M72,0)</f>
        <v>0.595238095238095</v>
      </c>
    </row>
    <row r="73" customFormat="false" ht="15" hidden="false" customHeight="true" outlineLevel="0" collapsed="false">
      <c r="A73" s="6" t="s">
        <v>49</v>
      </c>
      <c r="B73" s="6" t="s">
        <v>50</v>
      </c>
      <c r="C73" s="6" t="s">
        <v>18</v>
      </c>
      <c r="D73" s="6" t="s">
        <v>51</v>
      </c>
      <c r="E73" s="6" t="s">
        <v>52</v>
      </c>
      <c r="F73" s="6" t="s">
        <v>30</v>
      </c>
      <c r="G73" s="6" t="s">
        <v>31</v>
      </c>
      <c r="H73" s="6" t="s">
        <v>23</v>
      </c>
      <c r="I73" s="7" t="n">
        <v>8.5</v>
      </c>
      <c r="J73" s="7" t="n">
        <v>21</v>
      </c>
      <c r="K73" s="6" t="s">
        <v>29</v>
      </c>
      <c r="L73" s="6" t="n">
        <v>246</v>
      </c>
      <c r="M73" s="7" t="n">
        <f aca="false">L73*J73</f>
        <v>5166</v>
      </c>
      <c r="N73" s="7" t="n">
        <f aca="false">L73*I73</f>
        <v>2091</v>
      </c>
      <c r="O73" s="7" t="n">
        <f aca="false">M73-N73</f>
        <v>3075</v>
      </c>
      <c r="P73" s="8" t="n">
        <f aca="false">IFERROR(O73/M73,0)</f>
        <v>0.595238095238095</v>
      </c>
    </row>
    <row r="74" customFormat="false" ht="15" hidden="false" customHeight="true" outlineLevel="0" collapsed="false">
      <c r="A74" s="3" t="s">
        <v>49</v>
      </c>
      <c r="B74" s="3" t="s">
        <v>50</v>
      </c>
      <c r="C74" s="3" t="s">
        <v>18</v>
      </c>
      <c r="D74" s="3" t="s">
        <v>51</v>
      </c>
      <c r="E74" s="3" t="s">
        <v>52</v>
      </c>
      <c r="F74" s="3" t="s">
        <v>32</v>
      </c>
      <c r="G74" s="3" t="s">
        <v>33</v>
      </c>
      <c r="H74" s="3" t="s">
        <v>23</v>
      </c>
      <c r="I74" s="4" t="n">
        <v>2.5</v>
      </c>
      <c r="J74" s="4" t="n">
        <v>4.5</v>
      </c>
      <c r="K74" s="3" t="s">
        <v>24</v>
      </c>
      <c r="L74" s="3" t="n">
        <v>298</v>
      </c>
      <c r="M74" s="4" t="n">
        <f aca="false">L74*J74</f>
        <v>1341</v>
      </c>
      <c r="N74" s="4" t="n">
        <f aca="false">L74*I74</f>
        <v>745</v>
      </c>
      <c r="O74" s="4" t="n">
        <f aca="false">M74-N74</f>
        <v>596</v>
      </c>
      <c r="P74" s="5" t="n">
        <f aca="false">IFERROR(O74/M74,0)</f>
        <v>0.444444444444444</v>
      </c>
    </row>
    <row r="75" customFormat="false" ht="15" hidden="false" customHeight="true" outlineLevel="0" collapsed="false">
      <c r="A75" s="6" t="s">
        <v>49</v>
      </c>
      <c r="B75" s="6" t="s">
        <v>50</v>
      </c>
      <c r="C75" s="6" t="s">
        <v>18</v>
      </c>
      <c r="D75" s="6" t="s">
        <v>51</v>
      </c>
      <c r="E75" s="6" t="s">
        <v>52</v>
      </c>
      <c r="F75" s="6" t="s">
        <v>32</v>
      </c>
      <c r="G75" s="6" t="s">
        <v>33</v>
      </c>
      <c r="H75" s="6" t="s">
        <v>23</v>
      </c>
      <c r="I75" s="7" t="n">
        <v>2.5</v>
      </c>
      <c r="J75" s="7" t="n">
        <v>4.5</v>
      </c>
      <c r="K75" s="6" t="s">
        <v>25</v>
      </c>
      <c r="L75" s="6" t="n">
        <v>118</v>
      </c>
      <c r="M75" s="7" t="n">
        <f aca="false">L75*J75</f>
        <v>531</v>
      </c>
      <c r="N75" s="7" t="n">
        <f aca="false">L75*I75</f>
        <v>295</v>
      </c>
      <c r="O75" s="7" t="n">
        <f aca="false">M75-N75</f>
        <v>236</v>
      </c>
      <c r="P75" s="8" t="n">
        <f aca="false">IFERROR(O75/M75,0)</f>
        <v>0.444444444444444</v>
      </c>
    </row>
    <row r="76" customFormat="false" ht="15" hidden="false" customHeight="true" outlineLevel="0" collapsed="false">
      <c r="A76" s="3" t="s">
        <v>49</v>
      </c>
      <c r="B76" s="3" t="s">
        <v>50</v>
      </c>
      <c r="C76" s="3" t="s">
        <v>18</v>
      </c>
      <c r="D76" s="3" t="s">
        <v>51</v>
      </c>
      <c r="E76" s="3" t="s">
        <v>52</v>
      </c>
      <c r="F76" s="3" t="s">
        <v>32</v>
      </c>
      <c r="G76" s="3" t="s">
        <v>33</v>
      </c>
      <c r="H76" s="3" t="s">
        <v>23</v>
      </c>
      <c r="I76" s="4" t="n">
        <v>2.5</v>
      </c>
      <c r="J76" s="4" t="n">
        <v>4.5</v>
      </c>
      <c r="K76" s="3" t="s">
        <v>26</v>
      </c>
      <c r="L76" s="3" t="n">
        <v>238</v>
      </c>
      <c r="M76" s="4" t="n">
        <f aca="false">L76*J76</f>
        <v>1071</v>
      </c>
      <c r="N76" s="4" t="n">
        <f aca="false">L76*I76</f>
        <v>595</v>
      </c>
      <c r="O76" s="4" t="n">
        <f aca="false">M76-N76</f>
        <v>476</v>
      </c>
      <c r="P76" s="5" t="n">
        <f aca="false">IFERROR(O76/M76,0)</f>
        <v>0.444444444444444</v>
      </c>
    </row>
    <row r="77" customFormat="false" ht="15" hidden="false" customHeight="true" outlineLevel="0" collapsed="false">
      <c r="A77" s="6" t="s">
        <v>49</v>
      </c>
      <c r="B77" s="6" t="s">
        <v>50</v>
      </c>
      <c r="C77" s="6" t="s">
        <v>18</v>
      </c>
      <c r="D77" s="6" t="s">
        <v>51</v>
      </c>
      <c r="E77" s="6" t="s">
        <v>52</v>
      </c>
      <c r="F77" s="6" t="s">
        <v>32</v>
      </c>
      <c r="G77" s="6" t="s">
        <v>33</v>
      </c>
      <c r="H77" s="6" t="s">
        <v>23</v>
      </c>
      <c r="I77" s="7" t="n">
        <v>2.5</v>
      </c>
      <c r="J77" s="7" t="n">
        <v>4.5</v>
      </c>
      <c r="K77" s="6" t="s">
        <v>27</v>
      </c>
      <c r="L77" s="6" t="n">
        <v>40</v>
      </c>
      <c r="M77" s="7" t="n">
        <f aca="false">L77*J77</f>
        <v>180</v>
      </c>
      <c r="N77" s="7" t="n">
        <f aca="false">L77*I77</f>
        <v>100</v>
      </c>
      <c r="O77" s="7" t="n">
        <f aca="false">M77-N77</f>
        <v>80</v>
      </c>
      <c r="P77" s="8" t="n">
        <f aca="false">IFERROR(O77/M77,0)</f>
        <v>0.444444444444444</v>
      </c>
    </row>
    <row r="78" customFormat="false" ht="15" hidden="false" customHeight="true" outlineLevel="0" collapsed="false">
      <c r="A78" s="3" t="s">
        <v>49</v>
      </c>
      <c r="B78" s="3" t="s">
        <v>50</v>
      </c>
      <c r="C78" s="3" t="s">
        <v>18</v>
      </c>
      <c r="D78" s="3" t="s">
        <v>51</v>
      </c>
      <c r="E78" s="3" t="s">
        <v>52</v>
      </c>
      <c r="F78" s="3" t="s">
        <v>32</v>
      </c>
      <c r="G78" s="3" t="s">
        <v>33</v>
      </c>
      <c r="H78" s="3" t="s">
        <v>23</v>
      </c>
      <c r="I78" s="4" t="n">
        <v>2.5</v>
      </c>
      <c r="J78" s="4" t="n">
        <v>4.5</v>
      </c>
      <c r="K78" s="3" t="s">
        <v>28</v>
      </c>
      <c r="L78" s="3" t="n">
        <v>239</v>
      </c>
      <c r="M78" s="4" t="n">
        <f aca="false">L78*J78</f>
        <v>1075.5</v>
      </c>
      <c r="N78" s="4" t="n">
        <f aca="false">L78*I78</f>
        <v>597.5</v>
      </c>
      <c r="O78" s="4" t="n">
        <f aca="false">M78-N78</f>
        <v>478</v>
      </c>
      <c r="P78" s="5" t="n">
        <f aca="false">IFERROR(O78/M78,0)</f>
        <v>0.444444444444444</v>
      </c>
    </row>
    <row r="79" customFormat="false" ht="15" hidden="false" customHeight="true" outlineLevel="0" collapsed="false">
      <c r="A79" s="6" t="s">
        <v>49</v>
      </c>
      <c r="B79" s="6" t="s">
        <v>50</v>
      </c>
      <c r="C79" s="6" t="s">
        <v>18</v>
      </c>
      <c r="D79" s="6" t="s">
        <v>51</v>
      </c>
      <c r="E79" s="6" t="s">
        <v>52</v>
      </c>
      <c r="F79" s="6" t="s">
        <v>32</v>
      </c>
      <c r="G79" s="6" t="s">
        <v>33</v>
      </c>
      <c r="H79" s="6" t="s">
        <v>23</v>
      </c>
      <c r="I79" s="7" t="n">
        <v>2.5</v>
      </c>
      <c r="J79" s="7" t="n">
        <v>4.5</v>
      </c>
      <c r="K79" s="6" t="s">
        <v>29</v>
      </c>
      <c r="L79" s="6" t="n">
        <v>43</v>
      </c>
      <c r="M79" s="7" t="n">
        <f aca="false">L79*J79</f>
        <v>193.5</v>
      </c>
      <c r="N79" s="7" t="n">
        <f aca="false">L79*I79</f>
        <v>107.5</v>
      </c>
      <c r="O79" s="7" t="n">
        <f aca="false">M79-N79</f>
        <v>86</v>
      </c>
      <c r="P79" s="8" t="n">
        <f aca="false">IFERROR(O79/M79,0)</f>
        <v>0.444444444444444</v>
      </c>
    </row>
    <row r="80" customFormat="false" ht="15" hidden="false" customHeight="true" outlineLevel="0" collapsed="false">
      <c r="A80" s="3" t="s">
        <v>49</v>
      </c>
      <c r="B80" s="3" t="s">
        <v>50</v>
      </c>
      <c r="C80" s="3" t="s">
        <v>18</v>
      </c>
      <c r="D80" s="3" t="s">
        <v>51</v>
      </c>
      <c r="E80" s="3" t="s">
        <v>52</v>
      </c>
      <c r="F80" s="3" t="s">
        <v>34</v>
      </c>
      <c r="G80" s="3" t="s">
        <v>35</v>
      </c>
      <c r="H80" s="3" t="s">
        <v>23</v>
      </c>
      <c r="I80" s="4" t="n">
        <v>6</v>
      </c>
      <c r="J80" s="4" t="n">
        <v>12.5</v>
      </c>
      <c r="K80" s="3" t="s">
        <v>24</v>
      </c>
      <c r="L80" s="3" t="n">
        <v>214</v>
      </c>
      <c r="M80" s="4" t="n">
        <f aca="false">L80*J80</f>
        <v>2675</v>
      </c>
      <c r="N80" s="4" t="n">
        <f aca="false">L80*I80</f>
        <v>1284</v>
      </c>
      <c r="O80" s="4" t="n">
        <f aca="false">M80-N80</f>
        <v>1391</v>
      </c>
      <c r="P80" s="5" t="n">
        <f aca="false">IFERROR(O80/M80,0)</f>
        <v>0.52</v>
      </c>
    </row>
    <row r="81" customFormat="false" ht="15" hidden="false" customHeight="true" outlineLevel="0" collapsed="false">
      <c r="A81" s="6" t="s">
        <v>49</v>
      </c>
      <c r="B81" s="6" t="s">
        <v>50</v>
      </c>
      <c r="C81" s="6" t="s">
        <v>18</v>
      </c>
      <c r="D81" s="6" t="s">
        <v>51</v>
      </c>
      <c r="E81" s="6" t="s">
        <v>52</v>
      </c>
      <c r="F81" s="6" t="s">
        <v>34</v>
      </c>
      <c r="G81" s="6" t="s">
        <v>35</v>
      </c>
      <c r="H81" s="6" t="s">
        <v>23</v>
      </c>
      <c r="I81" s="7" t="n">
        <v>6</v>
      </c>
      <c r="J81" s="7" t="n">
        <v>12.5</v>
      </c>
      <c r="K81" s="6" t="s">
        <v>25</v>
      </c>
      <c r="L81" s="6" t="n">
        <v>135</v>
      </c>
      <c r="M81" s="7" t="n">
        <f aca="false">L81*J81</f>
        <v>1687.5</v>
      </c>
      <c r="N81" s="7" t="n">
        <f aca="false">L81*I81</f>
        <v>810</v>
      </c>
      <c r="O81" s="7" t="n">
        <f aca="false">M81-N81</f>
        <v>877.5</v>
      </c>
      <c r="P81" s="8" t="n">
        <f aca="false">IFERROR(O81/M81,0)</f>
        <v>0.52</v>
      </c>
    </row>
    <row r="82" customFormat="false" ht="15" hidden="false" customHeight="true" outlineLevel="0" collapsed="false">
      <c r="A82" s="3" t="s">
        <v>49</v>
      </c>
      <c r="B82" s="3" t="s">
        <v>50</v>
      </c>
      <c r="C82" s="3" t="s">
        <v>18</v>
      </c>
      <c r="D82" s="3" t="s">
        <v>51</v>
      </c>
      <c r="E82" s="3" t="s">
        <v>52</v>
      </c>
      <c r="F82" s="3" t="s">
        <v>34</v>
      </c>
      <c r="G82" s="3" t="s">
        <v>35</v>
      </c>
      <c r="H82" s="3" t="s">
        <v>23</v>
      </c>
      <c r="I82" s="4" t="n">
        <v>6</v>
      </c>
      <c r="J82" s="4" t="n">
        <v>12.5</v>
      </c>
      <c r="K82" s="3" t="s">
        <v>26</v>
      </c>
      <c r="L82" s="3" t="n">
        <v>176</v>
      </c>
      <c r="M82" s="4" t="n">
        <f aca="false">L82*J82</f>
        <v>2200</v>
      </c>
      <c r="N82" s="4" t="n">
        <f aca="false">L82*I82</f>
        <v>1056</v>
      </c>
      <c r="O82" s="4" t="n">
        <f aca="false">M82-N82</f>
        <v>1144</v>
      </c>
      <c r="P82" s="5" t="n">
        <f aca="false">IFERROR(O82/M82,0)</f>
        <v>0.52</v>
      </c>
    </row>
    <row r="83" customFormat="false" ht="15" hidden="false" customHeight="true" outlineLevel="0" collapsed="false">
      <c r="A83" s="6" t="s">
        <v>49</v>
      </c>
      <c r="B83" s="6" t="s">
        <v>50</v>
      </c>
      <c r="C83" s="6" t="s">
        <v>18</v>
      </c>
      <c r="D83" s="6" t="s">
        <v>51</v>
      </c>
      <c r="E83" s="6" t="s">
        <v>52</v>
      </c>
      <c r="F83" s="6" t="s">
        <v>34</v>
      </c>
      <c r="G83" s="6" t="s">
        <v>35</v>
      </c>
      <c r="H83" s="6" t="s">
        <v>23</v>
      </c>
      <c r="I83" s="7" t="n">
        <v>6</v>
      </c>
      <c r="J83" s="7" t="n">
        <v>12.5</v>
      </c>
      <c r="K83" s="6" t="s">
        <v>27</v>
      </c>
      <c r="L83" s="6" t="n">
        <v>65</v>
      </c>
      <c r="M83" s="7" t="n">
        <f aca="false">L83*J83</f>
        <v>812.5</v>
      </c>
      <c r="N83" s="7" t="n">
        <f aca="false">L83*I83</f>
        <v>390</v>
      </c>
      <c r="O83" s="7" t="n">
        <f aca="false">M83-N83</f>
        <v>422.5</v>
      </c>
      <c r="P83" s="8" t="n">
        <f aca="false">IFERROR(O83/M83,0)</f>
        <v>0.52</v>
      </c>
    </row>
    <row r="84" customFormat="false" ht="15" hidden="false" customHeight="true" outlineLevel="0" collapsed="false">
      <c r="A84" s="3" t="s">
        <v>49</v>
      </c>
      <c r="B84" s="3" t="s">
        <v>50</v>
      </c>
      <c r="C84" s="3" t="s">
        <v>18</v>
      </c>
      <c r="D84" s="3" t="s">
        <v>51</v>
      </c>
      <c r="E84" s="3" t="s">
        <v>52</v>
      </c>
      <c r="F84" s="3" t="s">
        <v>34</v>
      </c>
      <c r="G84" s="3" t="s">
        <v>35</v>
      </c>
      <c r="H84" s="3" t="s">
        <v>23</v>
      </c>
      <c r="I84" s="4" t="n">
        <v>6</v>
      </c>
      <c r="J84" s="4" t="n">
        <v>12.5</v>
      </c>
      <c r="K84" s="3" t="s">
        <v>28</v>
      </c>
      <c r="L84" s="3" t="n">
        <v>325</v>
      </c>
      <c r="M84" s="4" t="n">
        <f aca="false">L84*J84</f>
        <v>4062.5</v>
      </c>
      <c r="N84" s="4" t="n">
        <f aca="false">L84*I84</f>
        <v>1950</v>
      </c>
      <c r="O84" s="4" t="n">
        <f aca="false">M84-N84</f>
        <v>2112.5</v>
      </c>
      <c r="P84" s="5" t="n">
        <f aca="false">IFERROR(O84/M84,0)</f>
        <v>0.52</v>
      </c>
    </row>
    <row r="85" customFormat="false" ht="15" hidden="false" customHeight="true" outlineLevel="0" collapsed="false">
      <c r="A85" s="6" t="s">
        <v>49</v>
      </c>
      <c r="B85" s="6" t="s">
        <v>50</v>
      </c>
      <c r="C85" s="6" t="s">
        <v>18</v>
      </c>
      <c r="D85" s="6" t="s">
        <v>51</v>
      </c>
      <c r="E85" s="6" t="s">
        <v>52</v>
      </c>
      <c r="F85" s="6" t="s">
        <v>34</v>
      </c>
      <c r="G85" s="6" t="s">
        <v>35</v>
      </c>
      <c r="H85" s="6" t="s">
        <v>23</v>
      </c>
      <c r="I85" s="7" t="n">
        <v>6</v>
      </c>
      <c r="J85" s="7" t="n">
        <v>12.5</v>
      </c>
      <c r="K85" s="6" t="s">
        <v>29</v>
      </c>
      <c r="L85" s="6" t="n">
        <v>116</v>
      </c>
      <c r="M85" s="7" t="n">
        <f aca="false">L85*J85</f>
        <v>1450</v>
      </c>
      <c r="N85" s="7" t="n">
        <f aca="false">L85*I85</f>
        <v>696</v>
      </c>
      <c r="O85" s="7" t="n">
        <f aca="false">M85-N85</f>
        <v>754</v>
      </c>
      <c r="P85" s="8" t="n">
        <f aca="false">IFERROR(O85/M85,0)</f>
        <v>0.52</v>
      </c>
    </row>
    <row r="86" customFormat="false" ht="15" hidden="false" customHeight="true" outlineLevel="0" collapsed="false">
      <c r="A86" s="3" t="s">
        <v>49</v>
      </c>
      <c r="B86" s="3" t="s">
        <v>50</v>
      </c>
      <c r="C86" s="3" t="s">
        <v>18</v>
      </c>
      <c r="D86" s="3" t="s">
        <v>51</v>
      </c>
      <c r="E86" s="3" t="s">
        <v>52</v>
      </c>
      <c r="F86" s="3" t="s">
        <v>36</v>
      </c>
      <c r="G86" s="3" t="s">
        <v>37</v>
      </c>
      <c r="H86" s="3" t="s">
        <v>23</v>
      </c>
      <c r="I86" s="4" t="n">
        <v>4.5</v>
      </c>
      <c r="J86" s="4" t="n">
        <v>7</v>
      </c>
      <c r="K86" s="3" t="s">
        <v>24</v>
      </c>
      <c r="L86" s="3" t="n">
        <v>280</v>
      </c>
      <c r="M86" s="4" t="n">
        <f aca="false">L86*J86</f>
        <v>1960</v>
      </c>
      <c r="N86" s="4" t="n">
        <f aca="false">L86*I86</f>
        <v>1260</v>
      </c>
      <c r="O86" s="4" t="n">
        <f aca="false">M86-N86</f>
        <v>700</v>
      </c>
      <c r="P86" s="5" t="n">
        <f aca="false">IFERROR(O86/M86,0)</f>
        <v>0.357142857142857</v>
      </c>
    </row>
    <row r="87" customFormat="false" ht="15" hidden="false" customHeight="true" outlineLevel="0" collapsed="false">
      <c r="A87" s="6" t="s">
        <v>49</v>
      </c>
      <c r="B87" s="6" t="s">
        <v>50</v>
      </c>
      <c r="C87" s="6" t="s">
        <v>18</v>
      </c>
      <c r="D87" s="6" t="s">
        <v>51</v>
      </c>
      <c r="E87" s="6" t="s">
        <v>52</v>
      </c>
      <c r="F87" s="6" t="s">
        <v>36</v>
      </c>
      <c r="G87" s="6" t="s">
        <v>37</v>
      </c>
      <c r="H87" s="6" t="s">
        <v>23</v>
      </c>
      <c r="I87" s="7" t="n">
        <v>4.5</v>
      </c>
      <c r="J87" s="7" t="n">
        <v>7</v>
      </c>
      <c r="K87" s="6" t="s">
        <v>25</v>
      </c>
      <c r="L87" s="6" t="n">
        <v>106</v>
      </c>
      <c r="M87" s="7" t="n">
        <f aca="false">L87*J87</f>
        <v>742</v>
      </c>
      <c r="N87" s="7" t="n">
        <f aca="false">L87*I87</f>
        <v>477</v>
      </c>
      <c r="O87" s="7" t="n">
        <f aca="false">M87-N87</f>
        <v>265</v>
      </c>
      <c r="P87" s="8" t="n">
        <f aca="false">IFERROR(O87/M87,0)</f>
        <v>0.357142857142857</v>
      </c>
    </row>
    <row r="88" customFormat="false" ht="15" hidden="false" customHeight="true" outlineLevel="0" collapsed="false">
      <c r="A88" s="3" t="s">
        <v>49</v>
      </c>
      <c r="B88" s="3" t="s">
        <v>50</v>
      </c>
      <c r="C88" s="3" t="s">
        <v>18</v>
      </c>
      <c r="D88" s="3" t="s">
        <v>51</v>
      </c>
      <c r="E88" s="3" t="s">
        <v>52</v>
      </c>
      <c r="F88" s="3" t="s">
        <v>36</v>
      </c>
      <c r="G88" s="3" t="s">
        <v>37</v>
      </c>
      <c r="H88" s="3" t="s">
        <v>23</v>
      </c>
      <c r="I88" s="4" t="n">
        <v>4.5</v>
      </c>
      <c r="J88" s="4" t="n">
        <v>7</v>
      </c>
      <c r="K88" s="3" t="s">
        <v>26</v>
      </c>
      <c r="L88" s="3" t="n">
        <v>339</v>
      </c>
      <c r="M88" s="4" t="n">
        <f aca="false">L88*J88</f>
        <v>2373</v>
      </c>
      <c r="N88" s="4" t="n">
        <f aca="false">L88*I88</f>
        <v>1525.5</v>
      </c>
      <c r="O88" s="4" t="n">
        <f aca="false">M88-N88</f>
        <v>847.5</v>
      </c>
      <c r="P88" s="5" t="n">
        <f aca="false">IFERROR(O88/M88,0)</f>
        <v>0.357142857142857</v>
      </c>
    </row>
    <row r="89" customFormat="false" ht="15" hidden="false" customHeight="true" outlineLevel="0" collapsed="false">
      <c r="A89" s="6" t="s">
        <v>49</v>
      </c>
      <c r="B89" s="6" t="s">
        <v>50</v>
      </c>
      <c r="C89" s="6" t="s">
        <v>18</v>
      </c>
      <c r="D89" s="6" t="s">
        <v>51</v>
      </c>
      <c r="E89" s="6" t="s">
        <v>52</v>
      </c>
      <c r="F89" s="6" t="s">
        <v>36</v>
      </c>
      <c r="G89" s="6" t="s">
        <v>37</v>
      </c>
      <c r="H89" s="6" t="s">
        <v>23</v>
      </c>
      <c r="I89" s="7" t="n">
        <v>4.5</v>
      </c>
      <c r="J89" s="7" t="n">
        <v>7</v>
      </c>
      <c r="K89" s="6" t="s">
        <v>27</v>
      </c>
      <c r="L89" s="6" t="n">
        <v>254</v>
      </c>
      <c r="M89" s="7" t="n">
        <f aca="false">L89*J89</f>
        <v>1778</v>
      </c>
      <c r="N89" s="7" t="n">
        <f aca="false">L89*I89</f>
        <v>1143</v>
      </c>
      <c r="O89" s="7" t="n">
        <f aca="false">M89-N89</f>
        <v>635</v>
      </c>
      <c r="P89" s="8" t="n">
        <f aca="false">IFERROR(O89/M89,0)</f>
        <v>0.357142857142857</v>
      </c>
    </row>
    <row r="90" customFormat="false" ht="15" hidden="false" customHeight="true" outlineLevel="0" collapsed="false">
      <c r="A90" s="3" t="s">
        <v>49</v>
      </c>
      <c r="B90" s="3" t="s">
        <v>50</v>
      </c>
      <c r="C90" s="3" t="s">
        <v>18</v>
      </c>
      <c r="D90" s="3" t="s">
        <v>51</v>
      </c>
      <c r="E90" s="3" t="s">
        <v>52</v>
      </c>
      <c r="F90" s="3" t="s">
        <v>36</v>
      </c>
      <c r="G90" s="3" t="s">
        <v>37</v>
      </c>
      <c r="H90" s="3" t="s">
        <v>23</v>
      </c>
      <c r="I90" s="4" t="n">
        <v>4.5</v>
      </c>
      <c r="J90" s="4" t="n">
        <v>7</v>
      </c>
      <c r="K90" s="3" t="s">
        <v>28</v>
      </c>
      <c r="L90" s="3" t="n">
        <v>157</v>
      </c>
      <c r="M90" s="4" t="n">
        <f aca="false">L90*J90</f>
        <v>1099</v>
      </c>
      <c r="N90" s="4" t="n">
        <f aca="false">L90*I90</f>
        <v>706.5</v>
      </c>
      <c r="O90" s="4" t="n">
        <f aca="false">M90-N90</f>
        <v>392.5</v>
      </c>
      <c r="P90" s="5" t="n">
        <f aca="false">IFERROR(O90/M90,0)</f>
        <v>0.357142857142857</v>
      </c>
    </row>
    <row r="91" customFormat="false" ht="15" hidden="false" customHeight="true" outlineLevel="0" collapsed="false">
      <c r="A91" s="6" t="s">
        <v>49</v>
      </c>
      <c r="B91" s="6" t="s">
        <v>50</v>
      </c>
      <c r="C91" s="6" t="s">
        <v>18</v>
      </c>
      <c r="D91" s="6" t="s">
        <v>51</v>
      </c>
      <c r="E91" s="6" t="s">
        <v>52</v>
      </c>
      <c r="F91" s="6" t="s">
        <v>36</v>
      </c>
      <c r="G91" s="6" t="s">
        <v>37</v>
      </c>
      <c r="H91" s="6" t="s">
        <v>23</v>
      </c>
      <c r="I91" s="7" t="n">
        <v>4.5</v>
      </c>
      <c r="J91" s="7" t="n">
        <v>7</v>
      </c>
      <c r="K91" s="6" t="s">
        <v>29</v>
      </c>
      <c r="L91" s="6" t="n">
        <v>314</v>
      </c>
      <c r="M91" s="7" t="n">
        <f aca="false">L91*J91</f>
        <v>2198</v>
      </c>
      <c r="N91" s="7" t="n">
        <f aca="false">L91*I91</f>
        <v>1413</v>
      </c>
      <c r="O91" s="7" t="n">
        <f aca="false">M91-N91</f>
        <v>785</v>
      </c>
      <c r="P91" s="8" t="n">
        <f aca="false">IFERROR(O91/M91,0)</f>
        <v>0.357142857142857</v>
      </c>
    </row>
    <row r="92" customFormat="false" ht="15" hidden="false" customHeight="true" outlineLevel="0" collapsed="false">
      <c r="A92" s="3" t="s">
        <v>49</v>
      </c>
      <c r="B92" s="3" t="s">
        <v>50</v>
      </c>
      <c r="C92" s="3" t="s">
        <v>18</v>
      </c>
      <c r="D92" s="3" t="s">
        <v>51</v>
      </c>
      <c r="E92" s="3" t="s">
        <v>52</v>
      </c>
      <c r="F92" s="3" t="s">
        <v>38</v>
      </c>
      <c r="G92" s="3" t="s">
        <v>39</v>
      </c>
      <c r="H92" s="3" t="s">
        <v>23</v>
      </c>
      <c r="I92" s="4" t="n">
        <v>9.9</v>
      </c>
      <c r="J92" s="4" t="n">
        <v>18</v>
      </c>
      <c r="K92" s="3" t="s">
        <v>24</v>
      </c>
      <c r="L92" s="3" t="n">
        <v>225</v>
      </c>
      <c r="M92" s="4" t="n">
        <f aca="false">L92*J92</f>
        <v>4050</v>
      </c>
      <c r="N92" s="4" t="n">
        <f aca="false">L92*I92</f>
        <v>2227.5</v>
      </c>
      <c r="O92" s="4" t="n">
        <f aca="false">M92-N92</f>
        <v>1822.5</v>
      </c>
      <c r="P92" s="5" t="n">
        <f aca="false">IFERROR(O92/M92,0)</f>
        <v>0.45</v>
      </c>
    </row>
    <row r="93" customFormat="false" ht="15" hidden="false" customHeight="true" outlineLevel="0" collapsed="false">
      <c r="A93" s="6" t="s">
        <v>49</v>
      </c>
      <c r="B93" s="6" t="s">
        <v>50</v>
      </c>
      <c r="C93" s="6" t="s">
        <v>18</v>
      </c>
      <c r="D93" s="6" t="s">
        <v>51</v>
      </c>
      <c r="E93" s="6" t="s">
        <v>52</v>
      </c>
      <c r="F93" s="6" t="s">
        <v>38</v>
      </c>
      <c r="G93" s="6" t="s">
        <v>39</v>
      </c>
      <c r="H93" s="6" t="s">
        <v>23</v>
      </c>
      <c r="I93" s="7" t="n">
        <v>9.9</v>
      </c>
      <c r="J93" s="7" t="n">
        <v>18</v>
      </c>
      <c r="K93" s="6" t="s">
        <v>25</v>
      </c>
      <c r="L93" s="6" t="n">
        <v>283</v>
      </c>
      <c r="M93" s="7" t="n">
        <f aca="false">L93*J93</f>
        <v>5094</v>
      </c>
      <c r="N93" s="7" t="n">
        <f aca="false">L93*I93</f>
        <v>2801.7</v>
      </c>
      <c r="O93" s="7" t="n">
        <f aca="false">M93-N93</f>
        <v>2292.3</v>
      </c>
      <c r="P93" s="8" t="n">
        <f aca="false">IFERROR(O93/M93,0)</f>
        <v>0.45</v>
      </c>
    </row>
    <row r="94" customFormat="false" ht="15" hidden="false" customHeight="true" outlineLevel="0" collapsed="false">
      <c r="A94" s="3" t="s">
        <v>49</v>
      </c>
      <c r="B94" s="3" t="s">
        <v>50</v>
      </c>
      <c r="C94" s="3" t="s">
        <v>18</v>
      </c>
      <c r="D94" s="3" t="s">
        <v>51</v>
      </c>
      <c r="E94" s="3" t="s">
        <v>52</v>
      </c>
      <c r="F94" s="3" t="s">
        <v>38</v>
      </c>
      <c r="G94" s="3" t="s">
        <v>39</v>
      </c>
      <c r="H94" s="3" t="s">
        <v>23</v>
      </c>
      <c r="I94" s="4" t="n">
        <v>9.9</v>
      </c>
      <c r="J94" s="4" t="n">
        <v>18</v>
      </c>
      <c r="K94" s="3" t="s">
        <v>26</v>
      </c>
      <c r="L94" s="3" t="n">
        <v>97</v>
      </c>
      <c r="M94" s="4" t="n">
        <f aca="false">L94*J94</f>
        <v>1746</v>
      </c>
      <c r="N94" s="4" t="n">
        <f aca="false">L94*I94</f>
        <v>960.3</v>
      </c>
      <c r="O94" s="4" t="n">
        <f aca="false">M94-N94</f>
        <v>785.7</v>
      </c>
      <c r="P94" s="5" t="n">
        <f aca="false">IFERROR(O94/M94,0)</f>
        <v>0.45</v>
      </c>
    </row>
    <row r="95" customFormat="false" ht="15" hidden="false" customHeight="true" outlineLevel="0" collapsed="false">
      <c r="A95" s="6" t="s">
        <v>49</v>
      </c>
      <c r="B95" s="6" t="s">
        <v>50</v>
      </c>
      <c r="C95" s="6" t="s">
        <v>18</v>
      </c>
      <c r="D95" s="6" t="s">
        <v>51</v>
      </c>
      <c r="E95" s="6" t="s">
        <v>52</v>
      </c>
      <c r="F95" s="6" t="s">
        <v>38</v>
      </c>
      <c r="G95" s="6" t="s">
        <v>39</v>
      </c>
      <c r="H95" s="6" t="s">
        <v>23</v>
      </c>
      <c r="I95" s="7" t="n">
        <v>9.9</v>
      </c>
      <c r="J95" s="7" t="n">
        <v>18</v>
      </c>
      <c r="K95" s="6" t="s">
        <v>27</v>
      </c>
      <c r="L95" s="6" t="n">
        <v>144</v>
      </c>
      <c r="M95" s="7" t="n">
        <f aca="false">L95*J95</f>
        <v>2592</v>
      </c>
      <c r="N95" s="7" t="n">
        <f aca="false">L95*I95</f>
        <v>1425.6</v>
      </c>
      <c r="O95" s="7" t="n">
        <f aca="false">M95-N95</f>
        <v>1166.4</v>
      </c>
      <c r="P95" s="8" t="n">
        <f aca="false">IFERROR(O95/M95,0)</f>
        <v>0.45</v>
      </c>
    </row>
    <row r="96" customFormat="false" ht="15" hidden="false" customHeight="true" outlineLevel="0" collapsed="false">
      <c r="A96" s="3" t="s">
        <v>49</v>
      </c>
      <c r="B96" s="3" t="s">
        <v>50</v>
      </c>
      <c r="C96" s="3" t="s">
        <v>18</v>
      </c>
      <c r="D96" s="3" t="s">
        <v>51</v>
      </c>
      <c r="E96" s="3" t="s">
        <v>52</v>
      </c>
      <c r="F96" s="3" t="s">
        <v>38</v>
      </c>
      <c r="G96" s="3" t="s">
        <v>39</v>
      </c>
      <c r="H96" s="3" t="s">
        <v>23</v>
      </c>
      <c r="I96" s="4" t="n">
        <v>9.9</v>
      </c>
      <c r="J96" s="4" t="n">
        <v>18</v>
      </c>
      <c r="K96" s="3" t="s">
        <v>28</v>
      </c>
      <c r="L96" s="3" t="n">
        <v>233</v>
      </c>
      <c r="M96" s="4" t="n">
        <f aca="false">L96*J96</f>
        <v>4194</v>
      </c>
      <c r="N96" s="4" t="n">
        <f aca="false">L96*I96</f>
        <v>2306.7</v>
      </c>
      <c r="O96" s="4" t="n">
        <f aca="false">M96-N96</f>
        <v>1887.3</v>
      </c>
      <c r="P96" s="5" t="n">
        <f aca="false">IFERROR(O96/M96,0)</f>
        <v>0.45</v>
      </c>
    </row>
    <row r="97" customFormat="false" ht="15" hidden="false" customHeight="true" outlineLevel="0" collapsed="false">
      <c r="A97" s="6" t="s">
        <v>49</v>
      </c>
      <c r="B97" s="6" t="s">
        <v>50</v>
      </c>
      <c r="C97" s="6" t="s">
        <v>18</v>
      </c>
      <c r="D97" s="6" t="s">
        <v>51</v>
      </c>
      <c r="E97" s="6" t="s">
        <v>52</v>
      </c>
      <c r="F97" s="6" t="s">
        <v>38</v>
      </c>
      <c r="G97" s="6" t="s">
        <v>39</v>
      </c>
      <c r="H97" s="6" t="s">
        <v>23</v>
      </c>
      <c r="I97" s="7" t="n">
        <v>9.9</v>
      </c>
      <c r="J97" s="7" t="n">
        <v>18</v>
      </c>
      <c r="K97" s="6" t="s">
        <v>29</v>
      </c>
      <c r="L97" s="6" t="n">
        <v>199</v>
      </c>
      <c r="M97" s="7" t="n">
        <f aca="false">L97*J97</f>
        <v>3582</v>
      </c>
      <c r="N97" s="7" t="n">
        <f aca="false">L97*I97</f>
        <v>1970.1</v>
      </c>
      <c r="O97" s="7" t="n">
        <f aca="false">M97-N97</f>
        <v>1611.9</v>
      </c>
      <c r="P97" s="8" t="n">
        <f aca="false">IFERROR(O97/M97,0)</f>
        <v>0.45</v>
      </c>
    </row>
    <row r="98" customFormat="false" ht="15" hidden="false" customHeight="true" outlineLevel="0" collapsed="false">
      <c r="A98" s="3" t="s">
        <v>49</v>
      </c>
      <c r="B98" s="3" t="s">
        <v>50</v>
      </c>
      <c r="C98" s="3" t="s">
        <v>18</v>
      </c>
      <c r="D98" s="3" t="s">
        <v>51</v>
      </c>
      <c r="E98" s="3" t="s">
        <v>52</v>
      </c>
      <c r="F98" s="3" t="s">
        <v>40</v>
      </c>
      <c r="G98" s="3" t="s">
        <v>41</v>
      </c>
      <c r="H98" s="3" t="s">
        <v>42</v>
      </c>
      <c r="I98" s="4" t="n">
        <v>3.5</v>
      </c>
      <c r="J98" s="4" t="n">
        <v>6.5</v>
      </c>
      <c r="K98" s="3" t="s">
        <v>24</v>
      </c>
      <c r="L98" s="3" t="n">
        <v>132</v>
      </c>
      <c r="M98" s="4" t="n">
        <f aca="false">L98*J98</f>
        <v>858</v>
      </c>
      <c r="N98" s="4" t="n">
        <f aca="false">L98*I98</f>
        <v>462</v>
      </c>
      <c r="O98" s="4" t="n">
        <f aca="false">M98-N98</f>
        <v>396</v>
      </c>
      <c r="P98" s="5" t="n">
        <f aca="false">IFERROR(O98/M98,0)</f>
        <v>0.461538461538462</v>
      </c>
    </row>
    <row r="99" customFormat="false" ht="15" hidden="false" customHeight="true" outlineLevel="0" collapsed="false">
      <c r="A99" s="6" t="s">
        <v>49</v>
      </c>
      <c r="B99" s="6" t="s">
        <v>50</v>
      </c>
      <c r="C99" s="6" t="s">
        <v>18</v>
      </c>
      <c r="D99" s="6" t="s">
        <v>51</v>
      </c>
      <c r="E99" s="6" t="s">
        <v>52</v>
      </c>
      <c r="F99" s="6" t="s">
        <v>40</v>
      </c>
      <c r="G99" s="6" t="s">
        <v>41</v>
      </c>
      <c r="H99" s="6" t="s">
        <v>42</v>
      </c>
      <c r="I99" s="7" t="n">
        <v>3.5</v>
      </c>
      <c r="J99" s="7" t="n">
        <v>6.5</v>
      </c>
      <c r="K99" s="6" t="s">
        <v>25</v>
      </c>
      <c r="L99" s="6" t="n">
        <v>72</v>
      </c>
      <c r="M99" s="7" t="n">
        <f aca="false">L99*J99</f>
        <v>468</v>
      </c>
      <c r="N99" s="7" t="n">
        <f aca="false">L99*I99</f>
        <v>252</v>
      </c>
      <c r="O99" s="7" t="n">
        <f aca="false">M99-N99</f>
        <v>216</v>
      </c>
      <c r="P99" s="8" t="n">
        <f aca="false">IFERROR(O99/M99,0)</f>
        <v>0.461538461538462</v>
      </c>
    </row>
    <row r="100" customFormat="false" ht="15" hidden="false" customHeight="true" outlineLevel="0" collapsed="false">
      <c r="A100" s="3" t="s">
        <v>49</v>
      </c>
      <c r="B100" s="3" t="s">
        <v>50</v>
      </c>
      <c r="C100" s="3" t="s">
        <v>18</v>
      </c>
      <c r="D100" s="3" t="s">
        <v>51</v>
      </c>
      <c r="E100" s="3" t="s">
        <v>52</v>
      </c>
      <c r="F100" s="3" t="s">
        <v>40</v>
      </c>
      <c r="G100" s="3" t="s">
        <v>41</v>
      </c>
      <c r="H100" s="3" t="s">
        <v>42</v>
      </c>
      <c r="I100" s="4" t="n">
        <v>3.5</v>
      </c>
      <c r="J100" s="4" t="n">
        <v>6.5</v>
      </c>
      <c r="K100" s="3" t="s">
        <v>26</v>
      </c>
      <c r="L100" s="3" t="n">
        <v>63</v>
      </c>
      <c r="M100" s="4" t="n">
        <f aca="false">L100*J100</f>
        <v>409.5</v>
      </c>
      <c r="N100" s="4" t="n">
        <f aca="false">L100*I100</f>
        <v>220.5</v>
      </c>
      <c r="O100" s="4" t="n">
        <f aca="false">M100-N100</f>
        <v>189</v>
      </c>
      <c r="P100" s="5" t="n">
        <f aca="false">IFERROR(O100/M100,0)</f>
        <v>0.461538461538462</v>
      </c>
    </row>
    <row r="101" customFormat="false" ht="15" hidden="false" customHeight="true" outlineLevel="0" collapsed="false">
      <c r="A101" s="6" t="s">
        <v>49</v>
      </c>
      <c r="B101" s="6" t="s">
        <v>50</v>
      </c>
      <c r="C101" s="6" t="s">
        <v>18</v>
      </c>
      <c r="D101" s="6" t="s">
        <v>51</v>
      </c>
      <c r="E101" s="6" t="s">
        <v>52</v>
      </c>
      <c r="F101" s="6" t="s">
        <v>40</v>
      </c>
      <c r="G101" s="6" t="s">
        <v>41</v>
      </c>
      <c r="H101" s="6" t="s">
        <v>42</v>
      </c>
      <c r="I101" s="7" t="n">
        <v>3.5</v>
      </c>
      <c r="J101" s="7" t="n">
        <v>6.5</v>
      </c>
      <c r="K101" s="6" t="s">
        <v>27</v>
      </c>
      <c r="L101" s="6" t="n">
        <v>58</v>
      </c>
      <c r="M101" s="7" t="n">
        <f aca="false">L101*J101</f>
        <v>377</v>
      </c>
      <c r="N101" s="7" t="n">
        <f aca="false">L101*I101</f>
        <v>203</v>
      </c>
      <c r="O101" s="7" t="n">
        <f aca="false">M101-N101</f>
        <v>174</v>
      </c>
      <c r="P101" s="8" t="n">
        <f aca="false">IFERROR(O101/M101,0)</f>
        <v>0.461538461538462</v>
      </c>
    </row>
    <row r="102" customFormat="false" ht="15" hidden="false" customHeight="true" outlineLevel="0" collapsed="false">
      <c r="A102" s="3" t="s">
        <v>49</v>
      </c>
      <c r="B102" s="3" t="s">
        <v>50</v>
      </c>
      <c r="C102" s="3" t="s">
        <v>18</v>
      </c>
      <c r="D102" s="3" t="s">
        <v>51</v>
      </c>
      <c r="E102" s="3" t="s">
        <v>52</v>
      </c>
      <c r="F102" s="3" t="s">
        <v>40</v>
      </c>
      <c r="G102" s="3" t="s">
        <v>41</v>
      </c>
      <c r="H102" s="3" t="s">
        <v>42</v>
      </c>
      <c r="I102" s="4" t="n">
        <v>3.5</v>
      </c>
      <c r="J102" s="4" t="n">
        <v>6.5</v>
      </c>
      <c r="K102" s="3" t="s">
        <v>28</v>
      </c>
      <c r="L102" s="3" t="n">
        <v>230</v>
      </c>
      <c r="M102" s="4" t="n">
        <f aca="false">L102*J102</f>
        <v>1495</v>
      </c>
      <c r="N102" s="4" t="n">
        <f aca="false">L102*I102</f>
        <v>805</v>
      </c>
      <c r="O102" s="4" t="n">
        <f aca="false">M102-N102</f>
        <v>690</v>
      </c>
      <c r="P102" s="5" t="n">
        <f aca="false">IFERROR(O102/M102,0)</f>
        <v>0.461538461538462</v>
      </c>
    </row>
    <row r="103" customFormat="false" ht="15" hidden="false" customHeight="true" outlineLevel="0" collapsed="false">
      <c r="A103" s="6" t="s">
        <v>49</v>
      </c>
      <c r="B103" s="6" t="s">
        <v>50</v>
      </c>
      <c r="C103" s="6" t="s">
        <v>18</v>
      </c>
      <c r="D103" s="6" t="s">
        <v>51</v>
      </c>
      <c r="E103" s="6" t="s">
        <v>52</v>
      </c>
      <c r="F103" s="6" t="s">
        <v>40</v>
      </c>
      <c r="G103" s="6" t="s">
        <v>41</v>
      </c>
      <c r="H103" s="6" t="s">
        <v>42</v>
      </c>
      <c r="I103" s="7" t="n">
        <v>3.5</v>
      </c>
      <c r="J103" s="7" t="n">
        <v>6.5</v>
      </c>
      <c r="K103" s="6" t="s">
        <v>29</v>
      </c>
      <c r="L103" s="6" t="n">
        <v>377</v>
      </c>
      <c r="M103" s="7" t="n">
        <f aca="false">L103*J103</f>
        <v>2450.5</v>
      </c>
      <c r="N103" s="7" t="n">
        <f aca="false">L103*I103</f>
        <v>1319.5</v>
      </c>
      <c r="O103" s="7" t="n">
        <f aca="false">M103-N103</f>
        <v>1131</v>
      </c>
      <c r="P103" s="8" t="n">
        <f aca="false">IFERROR(O103/M103,0)</f>
        <v>0.461538461538462</v>
      </c>
    </row>
    <row r="104" customFormat="false" ht="15" hidden="false" customHeight="true" outlineLevel="0" collapsed="false">
      <c r="A104" s="3" t="s">
        <v>49</v>
      </c>
      <c r="B104" s="3" t="s">
        <v>50</v>
      </c>
      <c r="C104" s="3" t="s">
        <v>18</v>
      </c>
      <c r="D104" s="3" t="s">
        <v>51</v>
      </c>
      <c r="E104" s="3" t="s">
        <v>52</v>
      </c>
      <c r="F104" s="3" t="s">
        <v>43</v>
      </c>
      <c r="G104" s="3" t="s">
        <v>44</v>
      </c>
      <c r="H104" s="3" t="s">
        <v>42</v>
      </c>
      <c r="I104" s="4" t="n">
        <v>2</v>
      </c>
      <c r="J104" s="4" t="n">
        <v>3.8</v>
      </c>
      <c r="K104" s="3" t="s">
        <v>24</v>
      </c>
      <c r="L104" s="3" t="n">
        <v>177</v>
      </c>
      <c r="M104" s="4" t="n">
        <f aca="false">L104*J104</f>
        <v>672.6</v>
      </c>
      <c r="N104" s="4" t="n">
        <f aca="false">L104*I104</f>
        <v>354</v>
      </c>
      <c r="O104" s="4" t="n">
        <f aca="false">M104-N104</f>
        <v>318.6</v>
      </c>
      <c r="P104" s="5" t="n">
        <f aca="false">IFERROR(O104/M104,0)</f>
        <v>0.473684210526316</v>
      </c>
    </row>
    <row r="105" customFormat="false" ht="15" hidden="false" customHeight="true" outlineLevel="0" collapsed="false">
      <c r="A105" s="6" t="s">
        <v>49</v>
      </c>
      <c r="B105" s="6" t="s">
        <v>50</v>
      </c>
      <c r="C105" s="6" t="s">
        <v>18</v>
      </c>
      <c r="D105" s="6" t="s">
        <v>51</v>
      </c>
      <c r="E105" s="6" t="s">
        <v>52</v>
      </c>
      <c r="F105" s="6" t="s">
        <v>43</v>
      </c>
      <c r="G105" s="6" t="s">
        <v>44</v>
      </c>
      <c r="H105" s="6" t="s">
        <v>42</v>
      </c>
      <c r="I105" s="7" t="n">
        <v>2</v>
      </c>
      <c r="J105" s="7" t="n">
        <v>3.8</v>
      </c>
      <c r="K105" s="6" t="s">
        <v>25</v>
      </c>
      <c r="L105" s="6" t="n">
        <v>139</v>
      </c>
      <c r="M105" s="7" t="n">
        <f aca="false">L105*J105</f>
        <v>528.2</v>
      </c>
      <c r="N105" s="7" t="n">
        <f aca="false">L105*I105</f>
        <v>278</v>
      </c>
      <c r="O105" s="7" t="n">
        <f aca="false">M105-N105</f>
        <v>250.2</v>
      </c>
      <c r="P105" s="8" t="n">
        <f aca="false">IFERROR(O105/M105,0)</f>
        <v>0.473684210526316</v>
      </c>
    </row>
    <row r="106" customFormat="false" ht="15" hidden="false" customHeight="true" outlineLevel="0" collapsed="false">
      <c r="A106" s="3" t="s">
        <v>49</v>
      </c>
      <c r="B106" s="3" t="s">
        <v>50</v>
      </c>
      <c r="C106" s="3" t="s">
        <v>18</v>
      </c>
      <c r="D106" s="3" t="s">
        <v>51</v>
      </c>
      <c r="E106" s="3" t="s">
        <v>52</v>
      </c>
      <c r="F106" s="3" t="s">
        <v>43</v>
      </c>
      <c r="G106" s="3" t="s">
        <v>44</v>
      </c>
      <c r="H106" s="3" t="s">
        <v>42</v>
      </c>
      <c r="I106" s="4" t="n">
        <v>2</v>
      </c>
      <c r="J106" s="4" t="n">
        <v>3.8</v>
      </c>
      <c r="K106" s="3" t="s">
        <v>26</v>
      </c>
      <c r="L106" s="3" t="n">
        <v>114</v>
      </c>
      <c r="M106" s="4" t="n">
        <f aca="false">L106*J106</f>
        <v>433.2</v>
      </c>
      <c r="N106" s="4" t="n">
        <f aca="false">L106*I106</f>
        <v>228</v>
      </c>
      <c r="O106" s="4" t="n">
        <f aca="false">M106-N106</f>
        <v>205.2</v>
      </c>
      <c r="P106" s="5" t="n">
        <f aca="false">IFERROR(O106/M106,0)</f>
        <v>0.473684210526316</v>
      </c>
    </row>
    <row r="107" customFormat="false" ht="15" hidden="false" customHeight="true" outlineLevel="0" collapsed="false">
      <c r="A107" s="6" t="s">
        <v>49</v>
      </c>
      <c r="B107" s="6" t="s">
        <v>50</v>
      </c>
      <c r="C107" s="6" t="s">
        <v>18</v>
      </c>
      <c r="D107" s="6" t="s">
        <v>51</v>
      </c>
      <c r="E107" s="6" t="s">
        <v>52</v>
      </c>
      <c r="F107" s="6" t="s">
        <v>43</v>
      </c>
      <c r="G107" s="6" t="s">
        <v>44</v>
      </c>
      <c r="H107" s="6" t="s">
        <v>42</v>
      </c>
      <c r="I107" s="7" t="n">
        <v>2</v>
      </c>
      <c r="J107" s="7" t="n">
        <v>3.8</v>
      </c>
      <c r="K107" s="6" t="s">
        <v>27</v>
      </c>
      <c r="L107" s="6" t="n">
        <v>282</v>
      </c>
      <c r="M107" s="7" t="n">
        <f aca="false">L107*J107</f>
        <v>1071.6</v>
      </c>
      <c r="N107" s="7" t="n">
        <f aca="false">L107*I107</f>
        <v>564</v>
      </c>
      <c r="O107" s="7" t="n">
        <f aca="false">M107-N107</f>
        <v>507.6</v>
      </c>
      <c r="P107" s="8" t="n">
        <f aca="false">IFERROR(O107/M107,0)</f>
        <v>0.473684210526316</v>
      </c>
    </row>
    <row r="108" customFormat="false" ht="15" hidden="false" customHeight="true" outlineLevel="0" collapsed="false">
      <c r="A108" s="3" t="s">
        <v>49</v>
      </c>
      <c r="B108" s="3" t="s">
        <v>50</v>
      </c>
      <c r="C108" s="3" t="s">
        <v>18</v>
      </c>
      <c r="D108" s="3" t="s">
        <v>51</v>
      </c>
      <c r="E108" s="3" t="s">
        <v>52</v>
      </c>
      <c r="F108" s="3" t="s">
        <v>43</v>
      </c>
      <c r="G108" s="3" t="s">
        <v>44</v>
      </c>
      <c r="H108" s="3" t="s">
        <v>42</v>
      </c>
      <c r="I108" s="4" t="n">
        <v>2</v>
      </c>
      <c r="J108" s="4" t="n">
        <v>3.8</v>
      </c>
      <c r="K108" s="3" t="s">
        <v>28</v>
      </c>
      <c r="L108" s="3" t="n">
        <v>329</v>
      </c>
      <c r="M108" s="4" t="n">
        <f aca="false">L108*J108</f>
        <v>1250.2</v>
      </c>
      <c r="N108" s="4" t="n">
        <f aca="false">L108*I108</f>
        <v>658</v>
      </c>
      <c r="O108" s="4" t="n">
        <f aca="false">M108-N108</f>
        <v>592.2</v>
      </c>
      <c r="P108" s="5" t="n">
        <f aca="false">IFERROR(O108/M108,0)</f>
        <v>0.473684210526316</v>
      </c>
    </row>
    <row r="109" customFormat="false" ht="15" hidden="false" customHeight="true" outlineLevel="0" collapsed="false">
      <c r="A109" s="6" t="s">
        <v>49</v>
      </c>
      <c r="B109" s="6" t="s">
        <v>50</v>
      </c>
      <c r="C109" s="6" t="s">
        <v>18</v>
      </c>
      <c r="D109" s="6" t="s">
        <v>51</v>
      </c>
      <c r="E109" s="6" t="s">
        <v>52</v>
      </c>
      <c r="F109" s="6" t="s">
        <v>43</v>
      </c>
      <c r="G109" s="6" t="s">
        <v>44</v>
      </c>
      <c r="H109" s="6" t="s">
        <v>42</v>
      </c>
      <c r="I109" s="7" t="n">
        <v>2</v>
      </c>
      <c r="J109" s="7" t="n">
        <v>3.8</v>
      </c>
      <c r="K109" s="6" t="s">
        <v>29</v>
      </c>
      <c r="L109" s="6" t="n">
        <v>158</v>
      </c>
      <c r="M109" s="7" t="n">
        <f aca="false">L109*J109</f>
        <v>600.4</v>
      </c>
      <c r="N109" s="7" t="n">
        <f aca="false">L109*I109</f>
        <v>316</v>
      </c>
      <c r="O109" s="7" t="n">
        <f aca="false">M109-N109</f>
        <v>284.4</v>
      </c>
      <c r="P109" s="8" t="n">
        <f aca="false">IFERROR(O109/M109,0)</f>
        <v>0.473684210526316</v>
      </c>
    </row>
    <row r="110" customFormat="false" ht="15" hidden="false" customHeight="true" outlineLevel="0" collapsed="false">
      <c r="A110" s="3" t="s">
        <v>49</v>
      </c>
      <c r="B110" s="3" t="s">
        <v>50</v>
      </c>
      <c r="C110" s="3" t="s">
        <v>18</v>
      </c>
      <c r="D110" s="3" t="s">
        <v>51</v>
      </c>
      <c r="E110" s="3" t="s">
        <v>52</v>
      </c>
      <c r="F110" s="3" t="s">
        <v>45</v>
      </c>
      <c r="G110" s="3" t="s">
        <v>46</v>
      </c>
      <c r="H110" s="3" t="s">
        <v>42</v>
      </c>
      <c r="I110" s="4" t="n">
        <v>5</v>
      </c>
      <c r="J110" s="4" t="n">
        <v>10</v>
      </c>
      <c r="K110" s="3" t="s">
        <v>24</v>
      </c>
      <c r="L110" s="3" t="n">
        <v>82</v>
      </c>
      <c r="M110" s="4" t="n">
        <f aca="false">L110*J110</f>
        <v>820</v>
      </c>
      <c r="N110" s="4" t="n">
        <f aca="false">L110*I110</f>
        <v>410</v>
      </c>
      <c r="O110" s="4" t="n">
        <f aca="false">M110-N110</f>
        <v>410</v>
      </c>
      <c r="P110" s="5" t="n">
        <f aca="false">IFERROR(O110/M110,0)</f>
        <v>0.5</v>
      </c>
    </row>
    <row r="111" customFormat="false" ht="15" hidden="false" customHeight="true" outlineLevel="0" collapsed="false">
      <c r="A111" s="6" t="s">
        <v>49</v>
      </c>
      <c r="B111" s="6" t="s">
        <v>50</v>
      </c>
      <c r="C111" s="6" t="s">
        <v>18</v>
      </c>
      <c r="D111" s="6" t="s">
        <v>51</v>
      </c>
      <c r="E111" s="6" t="s">
        <v>52</v>
      </c>
      <c r="F111" s="6" t="s">
        <v>45</v>
      </c>
      <c r="G111" s="6" t="s">
        <v>46</v>
      </c>
      <c r="H111" s="6" t="s">
        <v>42</v>
      </c>
      <c r="I111" s="7" t="n">
        <v>5</v>
      </c>
      <c r="J111" s="7" t="n">
        <v>10</v>
      </c>
      <c r="K111" s="6" t="s">
        <v>25</v>
      </c>
      <c r="L111" s="6" t="n">
        <v>203</v>
      </c>
      <c r="M111" s="7" t="n">
        <f aca="false">L111*J111</f>
        <v>2030</v>
      </c>
      <c r="N111" s="7" t="n">
        <f aca="false">L111*I111</f>
        <v>1015</v>
      </c>
      <c r="O111" s="7" t="n">
        <f aca="false">M111-N111</f>
        <v>1015</v>
      </c>
      <c r="P111" s="8" t="n">
        <f aca="false">IFERROR(O111/M111,0)</f>
        <v>0.5</v>
      </c>
    </row>
    <row r="112" customFormat="false" ht="15" hidden="false" customHeight="true" outlineLevel="0" collapsed="false">
      <c r="A112" s="3" t="s">
        <v>49</v>
      </c>
      <c r="B112" s="3" t="s">
        <v>50</v>
      </c>
      <c r="C112" s="3" t="s">
        <v>18</v>
      </c>
      <c r="D112" s="3" t="s">
        <v>51</v>
      </c>
      <c r="E112" s="3" t="s">
        <v>52</v>
      </c>
      <c r="F112" s="3" t="s">
        <v>45</v>
      </c>
      <c r="G112" s="3" t="s">
        <v>46</v>
      </c>
      <c r="H112" s="3" t="s">
        <v>42</v>
      </c>
      <c r="I112" s="4" t="n">
        <v>5</v>
      </c>
      <c r="J112" s="4" t="n">
        <v>10</v>
      </c>
      <c r="K112" s="3" t="s">
        <v>26</v>
      </c>
      <c r="L112" s="3" t="n">
        <v>268</v>
      </c>
      <c r="M112" s="4" t="n">
        <f aca="false">L112*J112</f>
        <v>2680</v>
      </c>
      <c r="N112" s="4" t="n">
        <f aca="false">L112*I112</f>
        <v>1340</v>
      </c>
      <c r="O112" s="4" t="n">
        <f aca="false">M112-N112</f>
        <v>1340</v>
      </c>
      <c r="P112" s="5" t="n">
        <f aca="false">IFERROR(O112/M112,0)</f>
        <v>0.5</v>
      </c>
    </row>
    <row r="113" customFormat="false" ht="15" hidden="false" customHeight="true" outlineLevel="0" collapsed="false">
      <c r="A113" s="6" t="s">
        <v>49</v>
      </c>
      <c r="B113" s="6" t="s">
        <v>50</v>
      </c>
      <c r="C113" s="6" t="s">
        <v>18</v>
      </c>
      <c r="D113" s="6" t="s">
        <v>51</v>
      </c>
      <c r="E113" s="6" t="s">
        <v>52</v>
      </c>
      <c r="F113" s="6" t="s">
        <v>45</v>
      </c>
      <c r="G113" s="6" t="s">
        <v>46</v>
      </c>
      <c r="H113" s="6" t="s">
        <v>42</v>
      </c>
      <c r="I113" s="7" t="n">
        <v>5</v>
      </c>
      <c r="J113" s="7" t="n">
        <v>10</v>
      </c>
      <c r="K113" s="6" t="s">
        <v>27</v>
      </c>
      <c r="L113" s="6" t="n">
        <v>69</v>
      </c>
      <c r="M113" s="7" t="n">
        <f aca="false">L113*J113</f>
        <v>690</v>
      </c>
      <c r="N113" s="7" t="n">
        <f aca="false">L113*I113</f>
        <v>345</v>
      </c>
      <c r="O113" s="7" t="n">
        <f aca="false">M113-N113</f>
        <v>345</v>
      </c>
      <c r="P113" s="8" t="n">
        <f aca="false">IFERROR(O113/M113,0)</f>
        <v>0.5</v>
      </c>
    </row>
    <row r="114" customFormat="false" ht="15" hidden="false" customHeight="true" outlineLevel="0" collapsed="false">
      <c r="A114" s="3" t="s">
        <v>49</v>
      </c>
      <c r="B114" s="3" t="s">
        <v>50</v>
      </c>
      <c r="C114" s="3" t="s">
        <v>18</v>
      </c>
      <c r="D114" s="3" t="s">
        <v>51</v>
      </c>
      <c r="E114" s="3" t="s">
        <v>52</v>
      </c>
      <c r="F114" s="3" t="s">
        <v>45</v>
      </c>
      <c r="G114" s="3" t="s">
        <v>46</v>
      </c>
      <c r="H114" s="3" t="s">
        <v>42</v>
      </c>
      <c r="I114" s="4" t="n">
        <v>5</v>
      </c>
      <c r="J114" s="4" t="n">
        <v>10</v>
      </c>
      <c r="K114" s="3" t="s">
        <v>28</v>
      </c>
      <c r="L114" s="3" t="n">
        <v>87</v>
      </c>
      <c r="M114" s="4" t="n">
        <f aca="false">L114*J114</f>
        <v>870</v>
      </c>
      <c r="N114" s="4" t="n">
        <f aca="false">L114*I114</f>
        <v>435</v>
      </c>
      <c r="O114" s="4" t="n">
        <f aca="false">M114-N114</f>
        <v>435</v>
      </c>
      <c r="P114" s="5" t="n">
        <f aca="false">IFERROR(O114/M114,0)</f>
        <v>0.5</v>
      </c>
    </row>
    <row r="115" customFormat="false" ht="15" hidden="false" customHeight="true" outlineLevel="0" collapsed="false">
      <c r="A115" s="6" t="s">
        <v>49</v>
      </c>
      <c r="B115" s="6" t="s">
        <v>50</v>
      </c>
      <c r="C115" s="6" t="s">
        <v>18</v>
      </c>
      <c r="D115" s="6" t="s">
        <v>51</v>
      </c>
      <c r="E115" s="6" t="s">
        <v>52</v>
      </c>
      <c r="F115" s="6" t="s">
        <v>45</v>
      </c>
      <c r="G115" s="6" t="s">
        <v>46</v>
      </c>
      <c r="H115" s="6" t="s">
        <v>42</v>
      </c>
      <c r="I115" s="7" t="n">
        <v>5</v>
      </c>
      <c r="J115" s="7" t="n">
        <v>10</v>
      </c>
      <c r="K115" s="6" t="s">
        <v>29</v>
      </c>
      <c r="L115" s="6" t="n">
        <v>306</v>
      </c>
      <c r="M115" s="7" t="n">
        <f aca="false">L115*J115</f>
        <v>3060</v>
      </c>
      <c r="N115" s="7" t="n">
        <f aca="false">L115*I115</f>
        <v>1530</v>
      </c>
      <c r="O115" s="7" t="n">
        <f aca="false">M115-N115</f>
        <v>1530</v>
      </c>
      <c r="P115" s="8" t="n">
        <f aca="false">IFERROR(O115/M115,0)</f>
        <v>0.5</v>
      </c>
    </row>
    <row r="116" customFormat="false" ht="15" hidden="false" customHeight="true" outlineLevel="0" collapsed="false">
      <c r="A116" s="3" t="s">
        <v>49</v>
      </c>
      <c r="B116" s="3" t="s">
        <v>50</v>
      </c>
      <c r="C116" s="3" t="s">
        <v>18</v>
      </c>
      <c r="D116" s="3" t="s">
        <v>51</v>
      </c>
      <c r="E116" s="3" t="s">
        <v>52</v>
      </c>
      <c r="F116" s="3" t="s">
        <v>47</v>
      </c>
      <c r="G116" s="3" t="s">
        <v>48</v>
      </c>
      <c r="H116" s="3" t="s">
        <v>42</v>
      </c>
      <c r="I116" s="4" t="n">
        <v>2.8</v>
      </c>
      <c r="J116" s="4" t="n">
        <v>5.5</v>
      </c>
      <c r="K116" s="3" t="s">
        <v>24</v>
      </c>
      <c r="L116" s="3" t="n">
        <v>82</v>
      </c>
      <c r="M116" s="4" t="n">
        <f aca="false">L116*J116</f>
        <v>451</v>
      </c>
      <c r="N116" s="4" t="n">
        <f aca="false">L116*I116</f>
        <v>229.6</v>
      </c>
      <c r="O116" s="4" t="n">
        <f aca="false">M116-N116</f>
        <v>221.4</v>
      </c>
      <c r="P116" s="5" t="n">
        <f aca="false">IFERROR(O116/M116,0)</f>
        <v>0.490909090909091</v>
      </c>
    </row>
    <row r="117" customFormat="false" ht="15" hidden="false" customHeight="true" outlineLevel="0" collapsed="false">
      <c r="A117" s="6" t="s">
        <v>49</v>
      </c>
      <c r="B117" s="6" t="s">
        <v>50</v>
      </c>
      <c r="C117" s="6" t="s">
        <v>18</v>
      </c>
      <c r="D117" s="6" t="s">
        <v>51</v>
      </c>
      <c r="E117" s="6" t="s">
        <v>52</v>
      </c>
      <c r="F117" s="6" t="s">
        <v>47</v>
      </c>
      <c r="G117" s="6" t="s">
        <v>48</v>
      </c>
      <c r="H117" s="6" t="s">
        <v>42</v>
      </c>
      <c r="I117" s="7" t="n">
        <v>2.8</v>
      </c>
      <c r="J117" s="7" t="n">
        <v>5.5</v>
      </c>
      <c r="K117" s="6" t="s">
        <v>25</v>
      </c>
      <c r="L117" s="6" t="n">
        <v>117</v>
      </c>
      <c r="M117" s="7" t="n">
        <f aca="false">L117*J117</f>
        <v>643.5</v>
      </c>
      <c r="N117" s="7" t="n">
        <f aca="false">L117*I117</f>
        <v>327.6</v>
      </c>
      <c r="O117" s="7" t="n">
        <f aca="false">M117-N117</f>
        <v>315.9</v>
      </c>
      <c r="P117" s="8" t="n">
        <f aca="false">IFERROR(O117/M117,0)</f>
        <v>0.490909090909091</v>
      </c>
    </row>
    <row r="118" customFormat="false" ht="15" hidden="false" customHeight="true" outlineLevel="0" collapsed="false">
      <c r="A118" s="3" t="s">
        <v>49</v>
      </c>
      <c r="B118" s="3" t="s">
        <v>50</v>
      </c>
      <c r="C118" s="3" t="s">
        <v>18</v>
      </c>
      <c r="D118" s="3" t="s">
        <v>51</v>
      </c>
      <c r="E118" s="3" t="s">
        <v>52</v>
      </c>
      <c r="F118" s="3" t="s">
        <v>47</v>
      </c>
      <c r="G118" s="3" t="s">
        <v>48</v>
      </c>
      <c r="H118" s="3" t="s">
        <v>42</v>
      </c>
      <c r="I118" s="4" t="n">
        <v>2.8</v>
      </c>
      <c r="J118" s="4" t="n">
        <v>5.5</v>
      </c>
      <c r="K118" s="3" t="s">
        <v>26</v>
      </c>
      <c r="L118" s="3" t="n">
        <v>278</v>
      </c>
      <c r="M118" s="4" t="n">
        <f aca="false">L118*J118</f>
        <v>1529</v>
      </c>
      <c r="N118" s="4" t="n">
        <f aca="false">L118*I118</f>
        <v>778.4</v>
      </c>
      <c r="O118" s="4" t="n">
        <f aca="false">M118-N118</f>
        <v>750.6</v>
      </c>
      <c r="P118" s="5" t="n">
        <f aca="false">IFERROR(O118/M118,0)</f>
        <v>0.490909090909091</v>
      </c>
    </row>
    <row r="119" customFormat="false" ht="15" hidden="false" customHeight="true" outlineLevel="0" collapsed="false">
      <c r="A119" s="6" t="s">
        <v>49</v>
      </c>
      <c r="B119" s="6" t="s">
        <v>50</v>
      </c>
      <c r="C119" s="6" t="s">
        <v>18</v>
      </c>
      <c r="D119" s="6" t="s">
        <v>51</v>
      </c>
      <c r="E119" s="6" t="s">
        <v>52</v>
      </c>
      <c r="F119" s="6" t="s">
        <v>47</v>
      </c>
      <c r="G119" s="6" t="s">
        <v>48</v>
      </c>
      <c r="H119" s="6" t="s">
        <v>42</v>
      </c>
      <c r="I119" s="7" t="n">
        <v>2.8</v>
      </c>
      <c r="J119" s="7" t="n">
        <v>5.5</v>
      </c>
      <c r="K119" s="6" t="s">
        <v>27</v>
      </c>
      <c r="L119" s="6" t="n">
        <v>253</v>
      </c>
      <c r="M119" s="7" t="n">
        <f aca="false">L119*J119</f>
        <v>1391.5</v>
      </c>
      <c r="N119" s="7" t="n">
        <f aca="false">L119*I119</f>
        <v>708.4</v>
      </c>
      <c r="O119" s="7" t="n">
        <f aca="false">M119-N119</f>
        <v>683.1</v>
      </c>
      <c r="P119" s="8" t="n">
        <f aca="false">IFERROR(O119/M119,0)</f>
        <v>0.490909090909091</v>
      </c>
    </row>
    <row r="120" customFormat="false" ht="15" hidden="false" customHeight="true" outlineLevel="0" collapsed="false">
      <c r="A120" s="3" t="s">
        <v>49</v>
      </c>
      <c r="B120" s="3" t="s">
        <v>50</v>
      </c>
      <c r="C120" s="3" t="s">
        <v>18</v>
      </c>
      <c r="D120" s="3" t="s">
        <v>51</v>
      </c>
      <c r="E120" s="3" t="s">
        <v>52</v>
      </c>
      <c r="F120" s="3" t="s">
        <v>47</v>
      </c>
      <c r="G120" s="3" t="s">
        <v>48</v>
      </c>
      <c r="H120" s="3" t="s">
        <v>42</v>
      </c>
      <c r="I120" s="4" t="n">
        <v>2.8</v>
      </c>
      <c r="J120" s="4" t="n">
        <v>5.5</v>
      </c>
      <c r="K120" s="3" t="s">
        <v>28</v>
      </c>
      <c r="L120" s="3" t="n">
        <v>210</v>
      </c>
      <c r="M120" s="4" t="n">
        <f aca="false">L120*J120</f>
        <v>1155</v>
      </c>
      <c r="N120" s="4" t="n">
        <f aca="false">L120*I120</f>
        <v>588</v>
      </c>
      <c r="O120" s="4" t="n">
        <f aca="false">M120-N120</f>
        <v>567</v>
      </c>
      <c r="P120" s="5" t="n">
        <f aca="false">IFERROR(O120/M120,0)</f>
        <v>0.490909090909091</v>
      </c>
    </row>
    <row r="121" customFormat="false" ht="15" hidden="false" customHeight="true" outlineLevel="0" collapsed="false">
      <c r="A121" s="6" t="s">
        <v>49</v>
      </c>
      <c r="B121" s="6" t="s">
        <v>50</v>
      </c>
      <c r="C121" s="6" t="s">
        <v>18</v>
      </c>
      <c r="D121" s="6" t="s">
        <v>51</v>
      </c>
      <c r="E121" s="6" t="s">
        <v>52</v>
      </c>
      <c r="F121" s="6" t="s">
        <v>47</v>
      </c>
      <c r="G121" s="6" t="s">
        <v>48</v>
      </c>
      <c r="H121" s="6" t="s">
        <v>42</v>
      </c>
      <c r="I121" s="7" t="n">
        <v>2.8</v>
      </c>
      <c r="J121" s="7" t="n">
        <v>5.5</v>
      </c>
      <c r="K121" s="6" t="s">
        <v>29</v>
      </c>
      <c r="L121" s="6" t="n">
        <v>196</v>
      </c>
      <c r="M121" s="7" t="n">
        <f aca="false">L121*J121</f>
        <v>1078</v>
      </c>
      <c r="N121" s="7" t="n">
        <f aca="false">L121*I121</f>
        <v>548.8</v>
      </c>
      <c r="O121" s="7" t="n">
        <f aca="false">M121-N121</f>
        <v>529.2</v>
      </c>
      <c r="P121" s="8" t="n">
        <f aca="false">IFERROR(O121/M121,0)</f>
        <v>0.490909090909091</v>
      </c>
    </row>
    <row r="122" customFormat="false" ht="15" hidden="false" customHeight="true" outlineLevel="0" collapsed="false">
      <c r="A122" s="3" t="s">
        <v>53</v>
      </c>
      <c r="B122" s="3" t="s">
        <v>54</v>
      </c>
      <c r="C122" s="3" t="s">
        <v>18</v>
      </c>
      <c r="D122" s="3" t="s">
        <v>55</v>
      </c>
      <c r="E122" s="3" t="s">
        <v>56</v>
      </c>
      <c r="F122" s="3" t="s">
        <v>21</v>
      </c>
      <c r="G122" s="3" t="s">
        <v>22</v>
      </c>
      <c r="H122" s="3" t="s">
        <v>23</v>
      </c>
      <c r="I122" s="4" t="n">
        <v>8.99</v>
      </c>
      <c r="J122" s="4" t="n">
        <v>22</v>
      </c>
      <c r="K122" s="3" t="s">
        <v>24</v>
      </c>
      <c r="L122" s="3" t="n">
        <v>263</v>
      </c>
      <c r="M122" s="4" t="n">
        <f aca="false">L122*J122</f>
        <v>5786</v>
      </c>
      <c r="N122" s="4" t="n">
        <f aca="false">L122*I122</f>
        <v>2364.37</v>
      </c>
      <c r="O122" s="4" t="n">
        <f aca="false">M122-N122</f>
        <v>3421.63</v>
      </c>
      <c r="P122" s="5" t="n">
        <f aca="false">IFERROR(O122/M122,0)</f>
        <v>0.591363636363636</v>
      </c>
    </row>
    <row r="123" customFormat="false" ht="15" hidden="false" customHeight="true" outlineLevel="0" collapsed="false">
      <c r="A123" s="6" t="s">
        <v>53</v>
      </c>
      <c r="B123" s="6" t="s">
        <v>54</v>
      </c>
      <c r="C123" s="6" t="s">
        <v>18</v>
      </c>
      <c r="D123" s="6" t="s">
        <v>55</v>
      </c>
      <c r="E123" s="6" t="s">
        <v>56</v>
      </c>
      <c r="F123" s="6" t="s">
        <v>21</v>
      </c>
      <c r="G123" s="6" t="s">
        <v>22</v>
      </c>
      <c r="H123" s="6" t="s">
        <v>23</v>
      </c>
      <c r="I123" s="7" t="n">
        <v>8.99</v>
      </c>
      <c r="J123" s="7" t="n">
        <v>22</v>
      </c>
      <c r="K123" s="6" t="s">
        <v>25</v>
      </c>
      <c r="L123" s="6" t="n">
        <v>67</v>
      </c>
      <c r="M123" s="7" t="n">
        <f aca="false">L123*J123</f>
        <v>1474</v>
      </c>
      <c r="N123" s="7" t="n">
        <f aca="false">L123*I123</f>
        <v>602.33</v>
      </c>
      <c r="O123" s="7" t="n">
        <f aca="false">M123-N123</f>
        <v>871.67</v>
      </c>
      <c r="P123" s="8" t="n">
        <f aca="false">IFERROR(O123/M123,0)</f>
        <v>0.591363636363636</v>
      </c>
    </row>
    <row r="124" customFormat="false" ht="15" hidden="false" customHeight="true" outlineLevel="0" collapsed="false">
      <c r="A124" s="3" t="s">
        <v>53</v>
      </c>
      <c r="B124" s="3" t="s">
        <v>54</v>
      </c>
      <c r="C124" s="3" t="s">
        <v>18</v>
      </c>
      <c r="D124" s="3" t="s">
        <v>55</v>
      </c>
      <c r="E124" s="3" t="s">
        <v>56</v>
      </c>
      <c r="F124" s="3" t="s">
        <v>21</v>
      </c>
      <c r="G124" s="3" t="s">
        <v>22</v>
      </c>
      <c r="H124" s="3" t="s">
        <v>23</v>
      </c>
      <c r="I124" s="4" t="n">
        <v>8.99</v>
      </c>
      <c r="J124" s="4" t="n">
        <v>22</v>
      </c>
      <c r="K124" s="3" t="s">
        <v>26</v>
      </c>
      <c r="L124" s="3" t="n">
        <v>32</v>
      </c>
      <c r="M124" s="4" t="n">
        <f aca="false">L124*J124</f>
        <v>704</v>
      </c>
      <c r="N124" s="4" t="n">
        <f aca="false">L124*I124</f>
        <v>287.68</v>
      </c>
      <c r="O124" s="4" t="n">
        <f aca="false">M124-N124</f>
        <v>416.32</v>
      </c>
      <c r="P124" s="5" t="n">
        <f aca="false">IFERROR(O124/M124,0)</f>
        <v>0.591363636363636</v>
      </c>
    </row>
    <row r="125" customFormat="false" ht="15" hidden="false" customHeight="true" outlineLevel="0" collapsed="false">
      <c r="A125" s="6" t="s">
        <v>53</v>
      </c>
      <c r="B125" s="6" t="s">
        <v>54</v>
      </c>
      <c r="C125" s="6" t="s">
        <v>18</v>
      </c>
      <c r="D125" s="6" t="s">
        <v>55</v>
      </c>
      <c r="E125" s="6" t="s">
        <v>56</v>
      </c>
      <c r="F125" s="6" t="s">
        <v>21</v>
      </c>
      <c r="G125" s="6" t="s">
        <v>22</v>
      </c>
      <c r="H125" s="6" t="s">
        <v>23</v>
      </c>
      <c r="I125" s="7" t="n">
        <v>8.99</v>
      </c>
      <c r="J125" s="7" t="n">
        <v>22</v>
      </c>
      <c r="K125" s="6" t="s">
        <v>27</v>
      </c>
      <c r="L125" s="6" t="n">
        <v>153</v>
      </c>
      <c r="M125" s="7" t="n">
        <f aca="false">L125*J125</f>
        <v>3366</v>
      </c>
      <c r="N125" s="7" t="n">
        <f aca="false">L125*I125</f>
        <v>1375.47</v>
      </c>
      <c r="O125" s="7" t="n">
        <f aca="false">M125-N125</f>
        <v>1990.53</v>
      </c>
      <c r="P125" s="8" t="n">
        <f aca="false">IFERROR(O125/M125,0)</f>
        <v>0.591363636363636</v>
      </c>
    </row>
    <row r="126" customFormat="false" ht="15" hidden="false" customHeight="true" outlineLevel="0" collapsed="false">
      <c r="A126" s="3" t="s">
        <v>53</v>
      </c>
      <c r="B126" s="3" t="s">
        <v>54</v>
      </c>
      <c r="C126" s="3" t="s">
        <v>18</v>
      </c>
      <c r="D126" s="3" t="s">
        <v>55</v>
      </c>
      <c r="E126" s="3" t="s">
        <v>56</v>
      </c>
      <c r="F126" s="3" t="s">
        <v>21</v>
      </c>
      <c r="G126" s="3" t="s">
        <v>22</v>
      </c>
      <c r="H126" s="3" t="s">
        <v>23</v>
      </c>
      <c r="I126" s="4" t="n">
        <v>8.99</v>
      </c>
      <c r="J126" s="4" t="n">
        <v>22</v>
      </c>
      <c r="K126" s="3" t="s">
        <v>28</v>
      </c>
      <c r="L126" s="3" t="n">
        <v>290</v>
      </c>
      <c r="M126" s="4" t="n">
        <f aca="false">L126*J126</f>
        <v>6380</v>
      </c>
      <c r="N126" s="4" t="n">
        <f aca="false">L126*I126</f>
        <v>2607.1</v>
      </c>
      <c r="O126" s="4" t="n">
        <f aca="false">M126-N126</f>
        <v>3772.9</v>
      </c>
      <c r="P126" s="5" t="n">
        <f aca="false">IFERROR(O126/M126,0)</f>
        <v>0.591363636363636</v>
      </c>
    </row>
    <row r="127" customFormat="false" ht="15" hidden="false" customHeight="true" outlineLevel="0" collapsed="false">
      <c r="A127" s="6" t="s">
        <v>53</v>
      </c>
      <c r="B127" s="6" t="s">
        <v>54</v>
      </c>
      <c r="C127" s="6" t="s">
        <v>18</v>
      </c>
      <c r="D127" s="6" t="s">
        <v>55</v>
      </c>
      <c r="E127" s="6" t="s">
        <v>56</v>
      </c>
      <c r="F127" s="6" t="s">
        <v>21</v>
      </c>
      <c r="G127" s="6" t="s">
        <v>22</v>
      </c>
      <c r="H127" s="6" t="s">
        <v>23</v>
      </c>
      <c r="I127" s="7" t="n">
        <v>8.99</v>
      </c>
      <c r="J127" s="7" t="n">
        <v>22</v>
      </c>
      <c r="K127" s="6" t="s">
        <v>29</v>
      </c>
      <c r="L127" s="6" t="n">
        <v>354</v>
      </c>
      <c r="M127" s="7" t="n">
        <f aca="false">L127*J127</f>
        <v>7788</v>
      </c>
      <c r="N127" s="7" t="n">
        <f aca="false">L127*I127</f>
        <v>3182.46</v>
      </c>
      <c r="O127" s="7" t="n">
        <f aca="false">M127-N127</f>
        <v>4605.54</v>
      </c>
      <c r="P127" s="8" t="n">
        <f aca="false">IFERROR(O127/M127,0)</f>
        <v>0.591363636363636</v>
      </c>
    </row>
    <row r="128" customFormat="false" ht="15" hidden="false" customHeight="true" outlineLevel="0" collapsed="false">
      <c r="A128" s="3" t="s">
        <v>53</v>
      </c>
      <c r="B128" s="3" t="s">
        <v>54</v>
      </c>
      <c r="C128" s="3" t="s">
        <v>18</v>
      </c>
      <c r="D128" s="3" t="s">
        <v>55</v>
      </c>
      <c r="E128" s="3" t="s">
        <v>56</v>
      </c>
      <c r="F128" s="3" t="s">
        <v>30</v>
      </c>
      <c r="G128" s="3" t="s">
        <v>31</v>
      </c>
      <c r="H128" s="3" t="s">
        <v>23</v>
      </c>
      <c r="I128" s="4" t="n">
        <v>8.5</v>
      </c>
      <c r="J128" s="4" t="n">
        <v>21</v>
      </c>
      <c r="K128" s="3" t="s">
        <v>24</v>
      </c>
      <c r="L128" s="3" t="n">
        <v>226</v>
      </c>
      <c r="M128" s="4" t="n">
        <f aca="false">L128*J128</f>
        <v>4746</v>
      </c>
      <c r="N128" s="4" t="n">
        <f aca="false">L128*I128</f>
        <v>1921</v>
      </c>
      <c r="O128" s="4" t="n">
        <f aca="false">M128-N128</f>
        <v>2825</v>
      </c>
      <c r="P128" s="5" t="n">
        <f aca="false">IFERROR(O128/M128,0)</f>
        <v>0.595238095238095</v>
      </c>
    </row>
    <row r="129" customFormat="false" ht="15" hidden="false" customHeight="true" outlineLevel="0" collapsed="false">
      <c r="A129" s="6" t="s">
        <v>53</v>
      </c>
      <c r="B129" s="6" t="s">
        <v>54</v>
      </c>
      <c r="C129" s="6" t="s">
        <v>18</v>
      </c>
      <c r="D129" s="6" t="s">
        <v>55</v>
      </c>
      <c r="E129" s="6" t="s">
        <v>56</v>
      </c>
      <c r="F129" s="6" t="s">
        <v>30</v>
      </c>
      <c r="G129" s="6" t="s">
        <v>31</v>
      </c>
      <c r="H129" s="6" t="s">
        <v>23</v>
      </c>
      <c r="I129" s="7" t="n">
        <v>8.5</v>
      </c>
      <c r="J129" s="7" t="n">
        <v>21</v>
      </c>
      <c r="K129" s="6" t="s">
        <v>25</v>
      </c>
      <c r="L129" s="6" t="n">
        <v>110</v>
      </c>
      <c r="M129" s="7" t="n">
        <f aca="false">L129*J129</f>
        <v>2310</v>
      </c>
      <c r="N129" s="7" t="n">
        <f aca="false">L129*I129</f>
        <v>935</v>
      </c>
      <c r="O129" s="7" t="n">
        <f aca="false">M129-N129</f>
        <v>1375</v>
      </c>
      <c r="P129" s="8" t="n">
        <f aca="false">IFERROR(O129/M129,0)</f>
        <v>0.595238095238095</v>
      </c>
    </row>
    <row r="130" customFormat="false" ht="15" hidden="false" customHeight="true" outlineLevel="0" collapsed="false">
      <c r="A130" s="3" t="s">
        <v>53</v>
      </c>
      <c r="B130" s="3" t="s">
        <v>54</v>
      </c>
      <c r="C130" s="3" t="s">
        <v>18</v>
      </c>
      <c r="D130" s="3" t="s">
        <v>55</v>
      </c>
      <c r="E130" s="3" t="s">
        <v>56</v>
      </c>
      <c r="F130" s="3" t="s">
        <v>30</v>
      </c>
      <c r="G130" s="3" t="s">
        <v>31</v>
      </c>
      <c r="H130" s="3" t="s">
        <v>23</v>
      </c>
      <c r="I130" s="4" t="n">
        <v>8.5</v>
      </c>
      <c r="J130" s="4" t="n">
        <v>21</v>
      </c>
      <c r="K130" s="3" t="s">
        <v>26</v>
      </c>
      <c r="L130" s="3" t="n">
        <v>36</v>
      </c>
      <c r="M130" s="4" t="n">
        <f aca="false">L130*J130</f>
        <v>756</v>
      </c>
      <c r="N130" s="4" t="n">
        <f aca="false">L130*I130</f>
        <v>306</v>
      </c>
      <c r="O130" s="4" t="n">
        <f aca="false">M130-N130</f>
        <v>450</v>
      </c>
      <c r="P130" s="5" t="n">
        <f aca="false">IFERROR(O130/M130,0)</f>
        <v>0.595238095238095</v>
      </c>
    </row>
    <row r="131" customFormat="false" ht="15" hidden="false" customHeight="true" outlineLevel="0" collapsed="false">
      <c r="A131" s="6" t="s">
        <v>53</v>
      </c>
      <c r="B131" s="6" t="s">
        <v>54</v>
      </c>
      <c r="C131" s="6" t="s">
        <v>18</v>
      </c>
      <c r="D131" s="6" t="s">
        <v>55</v>
      </c>
      <c r="E131" s="6" t="s">
        <v>56</v>
      </c>
      <c r="F131" s="6" t="s">
        <v>30</v>
      </c>
      <c r="G131" s="6" t="s">
        <v>31</v>
      </c>
      <c r="H131" s="6" t="s">
        <v>23</v>
      </c>
      <c r="I131" s="7" t="n">
        <v>8.5</v>
      </c>
      <c r="J131" s="7" t="n">
        <v>21</v>
      </c>
      <c r="K131" s="6" t="s">
        <v>27</v>
      </c>
      <c r="L131" s="6" t="n">
        <v>177</v>
      </c>
      <c r="M131" s="7" t="n">
        <f aca="false">L131*J131</f>
        <v>3717</v>
      </c>
      <c r="N131" s="7" t="n">
        <f aca="false">L131*I131</f>
        <v>1504.5</v>
      </c>
      <c r="O131" s="7" t="n">
        <f aca="false">M131-N131</f>
        <v>2212.5</v>
      </c>
      <c r="P131" s="8" t="n">
        <f aca="false">IFERROR(O131/M131,0)</f>
        <v>0.595238095238095</v>
      </c>
    </row>
    <row r="132" customFormat="false" ht="15" hidden="false" customHeight="true" outlineLevel="0" collapsed="false">
      <c r="A132" s="3" t="s">
        <v>53</v>
      </c>
      <c r="B132" s="3" t="s">
        <v>54</v>
      </c>
      <c r="C132" s="3" t="s">
        <v>18</v>
      </c>
      <c r="D132" s="3" t="s">
        <v>55</v>
      </c>
      <c r="E132" s="3" t="s">
        <v>56</v>
      </c>
      <c r="F132" s="3" t="s">
        <v>30</v>
      </c>
      <c r="G132" s="3" t="s">
        <v>31</v>
      </c>
      <c r="H132" s="3" t="s">
        <v>23</v>
      </c>
      <c r="I132" s="4" t="n">
        <v>8.5</v>
      </c>
      <c r="J132" s="4" t="n">
        <v>21</v>
      </c>
      <c r="K132" s="3" t="s">
        <v>28</v>
      </c>
      <c r="L132" s="3" t="n">
        <v>214</v>
      </c>
      <c r="M132" s="4" t="n">
        <f aca="false">L132*J132</f>
        <v>4494</v>
      </c>
      <c r="N132" s="4" t="n">
        <f aca="false">L132*I132</f>
        <v>1819</v>
      </c>
      <c r="O132" s="4" t="n">
        <f aca="false">M132-N132</f>
        <v>2675</v>
      </c>
      <c r="P132" s="5" t="n">
        <f aca="false">IFERROR(O132/M132,0)</f>
        <v>0.595238095238095</v>
      </c>
    </row>
    <row r="133" customFormat="false" ht="15" hidden="false" customHeight="true" outlineLevel="0" collapsed="false">
      <c r="A133" s="6" t="s">
        <v>53</v>
      </c>
      <c r="B133" s="6" t="s">
        <v>54</v>
      </c>
      <c r="C133" s="6" t="s">
        <v>18</v>
      </c>
      <c r="D133" s="6" t="s">
        <v>55</v>
      </c>
      <c r="E133" s="6" t="s">
        <v>56</v>
      </c>
      <c r="F133" s="6" t="s">
        <v>30</v>
      </c>
      <c r="G133" s="6" t="s">
        <v>31</v>
      </c>
      <c r="H133" s="6" t="s">
        <v>23</v>
      </c>
      <c r="I133" s="7" t="n">
        <v>8.5</v>
      </c>
      <c r="J133" s="7" t="n">
        <v>21</v>
      </c>
      <c r="K133" s="6" t="s">
        <v>29</v>
      </c>
      <c r="L133" s="6" t="n">
        <v>356</v>
      </c>
      <c r="M133" s="7" t="n">
        <f aca="false">L133*J133</f>
        <v>7476</v>
      </c>
      <c r="N133" s="7" t="n">
        <f aca="false">L133*I133</f>
        <v>3026</v>
      </c>
      <c r="O133" s="7" t="n">
        <f aca="false">M133-N133</f>
        <v>4450</v>
      </c>
      <c r="P133" s="8" t="n">
        <f aca="false">IFERROR(O133/M133,0)</f>
        <v>0.595238095238095</v>
      </c>
    </row>
    <row r="134" customFormat="false" ht="15" hidden="false" customHeight="true" outlineLevel="0" collapsed="false">
      <c r="A134" s="3" t="s">
        <v>53</v>
      </c>
      <c r="B134" s="3" t="s">
        <v>54</v>
      </c>
      <c r="C134" s="3" t="s">
        <v>18</v>
      </c>
      <c r="D134" s="3" t="s">
        <v>55</v>
      </c>
      <c r="E134" s="3" t="s">
        <v>56</v>
      </c>
      <c r="F134" s="3" t="s">
        <v>32</v>
      </c>
      <c r="G134" s="3" t="s">
        <v>33</v>
      </c>
      <c r="H134" s="3" t="s">
        <v>23</v>
      </c>
      <c r="I134" s="4" t="n">
        <v>2.5</v>
      </c>
      <c r="J134" s="4" t="n">
        <v>4.5</v>
      </c>
      <c r="K134" s="3" t="s">
        <v>24</v>
      </c>
      <c r="L134" s="3" t="n">
        <v>126</v>
      </c>
      <c r="M134" s="4" t="n">
        <f aca="false">L134*J134</f>
        <v>567</v>
      </c>
      <c r="N134" s="4" t="n">
        <f aca="false">L134*I134</f>
        <v>315</v>
      </c>
      <c r="O134" s="4" t="n">
        <f aca="false">M134-N134</f>
        <v>252</v>
      </c>
      <c r="P134" s="5" t="n">
        <f aca="false">IFERROR(O134/M134,0)</f>
        <v>0.444444444444444</v>
      </c>
    </row>
    <row r="135" customFormat="false" ht="15" hidden="false" customHeight="true" outlineLevel="0" collapsed="false">
      <c r="A135" s="6" t="s">
        <v>53</v>
      </c>
      <c r="B135" s="6" t="s">
        <v>54</v>
      </c>
      <c r="C135" s="6" t="s">
        <v>18</v>
      </c>
      <c r="D135" s="6" t="s">
        <v>55</v>
      </c>
      <c r="E135" s="6" t="s">
        <v>56</v>
      </c>
      <c r="F135" s="6" t="s">
        <v>32</v>
      </c>
      <c r="G135" s="6" t="s">
        <v>33</v>
      </c>
      <c r="H135" s="6" t="s">
        <v>23</v>
      </c>
      <c r="I135" s="7" t="n">
        <v>2.5</v>
      </c>
      <c r="J135" s="7" t="n">
        <v>4.5</v>
      </c>
      <c r="K135" s="6" t="s">
        <v>25</v>
      </c>
      <c r="L135" s="6" t="n">
        <v>124</v>
      </c>
      <c r="M135" s="7" t="n">
        <f aca="false">L135*J135</f>
        <v>558</v>
      </c>
      <c r="N135" s="7" t="n">
        <f aca="false">L135*I135</f>
        <v>310</v>
      </c>
      <c r="O135" s="7" t="n">
        <f aca="false">M135-N135</f>
        <v>248</v>
      </c>
      <c r="P135" s="8" t="n">
        <f aca="false">IFERROR(O135/M135,0)</f>
        <v>0.444444444444444</v>
      </c>
    </row>
    <row r="136" customFormat="false" ht="15" hidden="false" customHeight="true" outlineLevel="0" collapsed="false">
      <c r="A136" s="3" t="s">
        <v>53</v>
      </c>
      <c r="B136" s="3" t="s">
        <v>54</v>
      </c>
      <c r="C136" s="3" t="s">
        <v>18</v>
      </c>
      <c r="D136" s="3" t="s">
        <v>55</v>
      </c>
      <c r="E136" s="3" t="s">
        <v>56</v>
      </c>
      <c r="F136" s="3" t="s">
        <v>32</v>
      </c>
      <c r="G136" s="3" t="s">
        <v>33</v>
      </c>
      <c r="H136" s="3" t="s">
        <v>23</v>
      </c>
      <c r="I136" s="4" t="n">
        <v>2.5</v>
      </c>
      <c r="J136" s="4" t="n">
        <v>4.5</v>
      </c>
      <c r="K136" s="3" t="s">
        <v>26</v>
      </c>
      <c r="L136" s="3" t="n">
        <v>67</v>
      </c>
      <c r="M136" s="4" t="n">
        <f aca="false">L136*J136</f>
        <v>301.5</v>
      </c>
      <c r="N136" s="4" t="n">
        <f aca="false">L136*I136</f>
        <v>167.5</v>
      </c>
      <c r="O136" s="4" t="n">
        <f aca="false">M136-N136</f>
        <v>134</v>
      </c>
      <c r="P136" s="5" t="n">
        <f aca="false">IFERROR(O136/M136,0)</f>
        <v>0.444444444444444</v>
      </c>
    </row>
    <row r="137" customFormat="false" ht="15" hidden="false" customHeight="true" outlineLevel="0" collapsed="false">
      <c r="A137" s="6" t="s">
        <v>53</v>
      </c>
      <c r="B137" s="6" t="s">
        <v>54</v>
      </c>
      <c r="C137" s="6" t="s">
        <v>18</v>
      </c>
      <c r="D137" s="6" t="s">
        <v>55</v>
      </c>
      <c r="E137" s="6" t="s">
        <v>56</v>
      </c>
      <c r="F137" s="6" t="s">
        <v>32</v>
      </c>
      <c r="G137" s="6" t="s">
        <v>33</v>
      </c>
      <c r="H137" s="6" t="s">
        <v>23</v>
      </c>
      <c r="I137" s="7" t="n">
        <v>2.5</v>
      </c>
      <c r="J137" s="7" t="n">
        <v>4.5</v>
      </c>
      <c r="K137" s="6" t="s">
        <v>27</v>
      </c>
      <c r="L137" s="6" t="n">
        <v>52</v>
      </c>
      <c r="M137" s="7" t="n">
        <f aca="false">L137*J137</f>
        <v>234</v>
      </c>
      <c r="N137" s="7" t="n">
        <f aca="false">L137*I137</f>
        <v>130</v>
      </c>
      <c r="O137" s="7" t="n">
        <f aca="false">M137-N137</f>
        <v>104</v>
      </c>
      <c r="P137" s="8" t="n">
        <f aca="false">IFERROR(O137/M137,0)</f>
        <v>0.444444444444444</v>
      </c>
    </row>
    <row r="138" customFormat="false" ht="15" hidden="false" customHeight="true" outlineLevel="0" collapsed="false">
      <c r="A138" s="3" t="s">
        <v>53</v>
      </c>
      <c r="B138" s="3" t="s">
        <v>54</v>
      </c>
      <c r="C138" s="3" t="s">
        <v>18</v>
      </c>
      <c r="D138" s="3" t="s">
        <v>55</v>
      </c>
      <c r="E138" s="3" t="s">
        <v>56</v>
      </c>
      <c r="F138" s="3" t="s">
        <v>32</v>
      </c>
      <c r="G138" s="3" t="s">
        <v>33</v>
      </c>
      <c r="H138" s="3" t="s">
        <v>23</v>
      </c>
      <c r="I138" s="4" t="n">
        <v>2.5</v>
      </c>
      <c r="J138" s="4" t="n">
        <v>4.5</v>
      </c>
      <c r="K138" s="3" t="s">
        <v>28</v>
      </c>
      <c r="L138" s="3" t="n">
        <v>334</v>
      </c>
      <c r="M138" s="4" t="n">
        <f aca="false">L138*J138</f>
        <v>1503</v>
      </c>
      <c r="N138" s="4" t="n">
        <f aca="false">L138*I138</f>
        <v>835</v>
      </c>
      <c r="O138" s="4" t="n">
        <f aca="false">M138-N138</f>
        <v>668</v>
      </c>
      <c r="P138" s="5" t="n">
        <f aca="false">IFERROR(O138/M138,0)</f>
        <v>0.444444444444444</v>
      </c>
    </row>
    <row r="139" customFormat="false" ht="15" hidden="false" customHeight="true" outlineLevel="0" collapsed="false">
      <c r="A139" s="6" t="s">
        <v>53</v>
      </c>
      <c r="B139" s="6" t="s">
        <v>54</v>
      </c>
      <c r="C139" s="6" t="s">
        <v>18</v>
      </c>
      <c r="D139" s="6" t="s">
        <v>55</v>
      </c>
      <c r="E139" s="6" t="s">
        <v>56</v>
      </c>
      <c r="F139" s="6" t="s">
        <v>32</v>
      </c>
      <c r="G139" s="6" t="s">
        <v>33</v>
      </c>
      <c r="H139" s="6" t="s">
        <v>23</v>
      </c>
      <c r="I139" s="7" t="n">
        <v>2.5</v>
      </c>
      <c r="J139" s="7" t="n">
        <v>4.5</v>
      </c>
      <c r="K139" s="6" t="s">
        <v>29</v>
      </c>
      <c r="L139" s="6" t="n">
        <v>134</v>
      </c>
      <c r="M139" s="7" t="n">
        <f aca="false">L139*J139</f>
        <v>603</v>
      </c>
      <c r="N139" s="7" t="n">
        <f aca="false">L139*I139</f>
        <v>335</v>
      </c>
      <c r="O139" s="7" t="n">
        <f aca="false">M139-N139</f>
        <v>268</v>
      </c>
      <c r="P139" s="8" t="n">
        <f aca="false">IFERROR(O139/M139,0)</f>
        <v>0.444444444444444</v>
      </c>
    </row>
    <row r="140" customFormat="false" ht="15" hidden="false" customHeight="true" outlineLevel="0" collapsed="false">
      <c r="A140" s="3" t="s">
        <v>53</v>
      </c>
      <c r="B140" s="3" t="s">
        <v>54</v>
      </c>
      <c r="C140" s="3" t="s">
        <v>18</v>
      </c>
      <c r="D140" s="3" t="s">
        <v>55</v>
      </c>
      <c r="E140" s="3" t="s">
        <v>56</v>
      </c>
      <c r="F140" s="3" t="s">
        <v>34</v>
      </c>
      <c r="G140" s="3" t="s">
        <v>35</v>
      </c>
      <c r="H140" s="3" t="s">
        <v>23</v>
      </c>
      <c r="I140" s="4" t="n">
        <v>6</v>
      </c>
      <c r="J140" s="4" t="n">
        <v>12.5</v>
      </c>
      <c r="K140" s="3" t="s">
        <v>24</v>
      </c>
      <c r="L140" s="3" t="n">
        <v>282</v>
      </c>
      <c r="M140" s="4" t="n">
        <f aca="false">L140*J140</f>
        <v>3525</v>
      </c>
      <c r="N140" s="4" t="n">
        <f aca="false">L140*I140</f>
        <v>1692</v>
      </c>
      <c r="O140" s="4" t="n">
        <f aca="false">M140-N140</f>
        <v>1833</v>
      </c>
      <c r="P140" s="5" t="n">
        <f aca="false">IFERROR(O140/M140,0)</f>
        <v>0.52</v>
      </c>
    </row>
    <row r="141" customFormat="false" ht="15" hidden="false" customHeight="true" outlineLevel="0" collapsed="false">
      <c r="A141" s="6" t="s">
        <v>53</v>
      </c>
      <c r="B141" s="6" t="s">
        <v>54</v>
      </c>
      <c r="C141" s="6" t="s">
        <v>18</v>
      </c>
      <c r="D141" s="6" t="s">
        <v>55</v>
      </c>
      <c r="E141" s="6" t="s">
        <v>56</v>
      </c>
      <c r="F141" s="6" t="s">
        <v>34</v>
      </c>
      <c r="G141" s="6" t="s">
        <v>35</v>
      </c>
      <c r="H141" s="6" t="s">
        <v>23</v>
      </c>
      <c r="I141" s="7" t="n">
        <v>6</v>
      </c>
      <c r="J141" s="7" t="n">
        <v>12.5</v>
      </c>
      <c r="K141" s="6" t="s">
        <v>25</v>
      </c>
      <c r="L141" s="6" t="n">
        <v>110</v>
      </c>
      <c r="M141" s="7" t="n">
        <f aca="false">L141*J141</f>
        <v>1375</v>
      </c>
      <c r="N141" s="7" t="n">
        <f aca="false">L141*I141</f>
        <v>660</v>
      </c>
      <c r="O141" s="7" t="n">
        <f aca="false">M141-N141</f>
        <v>715</v>
      </c>
      <c r="P141" s="8" t="n">
        <f aca="false">IFERROR(O141/M141,0)</f>
        <v>0.52</v>
      </c>
    </row>
    <row r="142" customFormat="false" ht="15" hidden="false" customHeight="true" outlineLevel="0" collapsed="false">
      <c r="A142" s="3" t="s">
        <v>53</v>
      </c>
      <c r="B142" s="3" t="s">
        <v>54</v>
      </c>
      <c r="C142" s="3" t="s">
        <v>18</v>
      </c>
      <c r="D142" s="3" t="s">
        <v>55</v>
      </c>
      <c r="E142" s="3" t="s">
        <v>56</v>
      </c>
      <c r="F142" s="3" t="s">
        <v>34</v>
      </c>
      <c r="G142" s="3" t="s">
        <v>35</v>
      </c>
      <c r="H142" s="3" t="s">
        <v>23</v>
      </c>
      <c r="I142" s="4" t="n">
        <v>6</v>
      </c>
      <c r="J142" s="4" t="n">
        <v>12.5</v>
      </c>
      <c r="K142" s="3" t="s">
        <v>26</v>
      </c>
      <c r="L142" s="3" t="n">
        <v>67</v>
      </c>
      <c r="M142" s="4" t="n">
        <f aca="false">L142*J142</f>
        <v>837.5</v>
      </c>
      <c r="N142" s="4" t="n">
        <f aca="false">L142*I142</f>
        <v>402</v>
      </c>
      <c r="O142" s="4" t="n">
        <f aca="false">M142-N142</f>
        <v>435.5</v>
      </c>
      <c r="P142" s="5" t="n">
        <f aca="false">IFERROR(O142/M142,0)</f>
        <v>0.52</v>
      </c>
    </row>
    <row r="143" customFormat="false" ht="15" hidden="false" customHeight="true" outlineLevel="0" collapsed="false">
      <c r="A143" s="6" t="s">
        <v>53</v>
      </c>
      <c r="B143" s="6" t="s">
        <v>54</v>
      </c>
      <c r="C143" s="6" t="s">
        <v>18</v>
      </c>
      <c r="D143" s="6" t="s">
        <v>55</v>
      </c>
      <c r="E143" s="6" t="s">
        <v>56</v>
      </c>
      <c r="F143" s="6" t="s">
        <v>34</v>
      </c>
      <c r="G143" s="6" t="s">
        <v>35</v>
      </c>
      <c r="H143" s="6" t="s">
        <v>23</v>
      </c>
      <c r="I143" s="7" t="n">
        <v>6</v>
      </c>
      <c r="J143" s="7" t="n">
        <v>12.5</v>
      </c>
      <c r="K143" s="6" t="s">
        <v>27</v>
      </c>
      <c r="L143" s="6" t="n">
        <v>240</v>
      </c>
      <c r="M143" s="7" t="n">
        <f aca="false">L143*J143</f>
        <v>3000</v>
      </c>
      <c r="N143" s="7" t="n">
        <f aca="false">L143*I143</f>
        <v>1440</v>
      </c>
      <c r="O143" s="7" t="n">
        <f aca="false">M143-N143</f>
        <v>1560</v>
      </c>
      <c r="P143" s="8" t="n">
        <f aca="false">IFERROR(O143/M143,0)</f>
        <v>0.52</v>
      </c>
    </row>
    <row r="144" customFormat="false" ht="15" hidden="false" customHeight="true" outlineLevel="0" collapsed="false">
      <c r="A144" s="3" t="s">
        <v>53</v>
      </c>
      <c r="B144" s="3" t="s">
        <v>54</v>
      </c>
      <c r="C144" s="3" t="s">
        <v>18</v>
      </c>
      <c r="D144" s="3" t="s">
        <v>55</v>
      </c>
      <c r="E144" s="3" t="s">
        <v>56</v>
      </c>
      <c r="F144" s="3" t="s">
        <v>34</v>
      </c>
      <c r="G144" s="3" t="s">
        <v>35</v>
      </c>
      <c r="H144" s="3" t="s">
        <v>23</v>
      </c>
      <c r="I144" s="4" t="n">
        <v>6</v>
      </c>
      <c r="J144" s="4" t="n">
        <v>12.5</v>
      </c>
      <c r="K144" s="3" t="s">
        <v>28</v>
      </c>
      <c r="L144" s="3" t="n">
        <v>195</v>
      </c>
      <c r="M144" s="4" t="n">
        <f aca="false">L144*J144</f>
        <v>2437.5</v>
      </c>
      <c r="N144" s="4" t="n">
        <f aca="false">L144*I144</f>
        <v>1170</v>
      </c>
      <c r="O144" s="4" t="n">
        <f aca="false">M144-N144</f>
        <v>1267.5</v>
      </c>
      <c r="P144" s="5" t="n">
        <f aca="false">IFERROR(O144/M144,0)</f>
        <v>0.52</v>
      </c>
    </row>
    <row r="145" customFormat="false" ht="15" hidden="false" customHeight="true" outlineLevel="0" collapsed="false">
      <c r="A145" s="6" t="s">
        <v>53</v>
      </c>
      <c r="B145" s="6" t="s">
        <v>54</v>
      </c>
      <c r="C145" s="6" t="s">
        <v>18</v>
      </c>
      <c r="D145" s="6" t="s">
        <v>55</v>
      </c>
      <c r="E145" s="6" t="s">
        <v>56</v>
      </c>
      <c r="F145" s="6" t="s">
        <v>34</v>
      </c>
      <c r="G145" s="6" t="s">
        <v>35</v>
      </c>
      <c r="H145" s="6" t="s">
        <v>23</v>
      </c>
      <c r="I145" s="7" t="n">
        <v>6</v>
      </c>
      <c r="J145" s="7" t="n">
        <v>12.5</v>
      </c>
      <c r="K145" s="6" t="s">
        <v>29</v>
      </c>
      <c r="L145" s="6" t="n">
        <v>74</v>
      </c>
      <c r="M145" s="7" t="n">
        <f aca="false">L145*J145</f>
        <v>925</v>
      </c>
      <c r="N145" s="7" t="n">
        <f aca="false">L145*I145</f>
        <v>444</v>
      </c>
      <c r="O145" s="7" t="n">
        <f aca="false">M145-N145</f>
        <v>481</v>
      </c>
      <c r="P145" s="8" t="n">
        <f aca="false">IFERROR(O145/M145,0)</f>
        <v>0.52</v>
      </c>
    </row>
    <row r="146" customFormat="false" ht="15" hidden="false" customHeight="true" outlineLevel="0" collapsed="false">
      <c r="A146" s="3" t="s">
        <v>53</v>
      </c>
      <c r="B146" s="3" t="s">
        <v>54</v>
      </c>
      <c r="C146" s="3" t="s">
        <v>18</v>
      </c>
      <c r="D146" s="3" t="s">
        <v>55</v>
      </c>
      <c r="E146" s="3" t="s">
        <v>56</v>
      </c>
      <c r="F146" s="3" t="s">
        <v>36</v>
      </c>
      <c r="G146" s="3" t="s">
        <v>37</v>
      </c>
      <c r="H146" s="3" t="s">
        <v>23</v>
      </c>
      <c r="I146" s="4" t="n">
        <v>4.5</v>
      </c>
      <c r="J146" s="4" t="n">
        <v>7</v>
      </c>
      <c r="K146" s="3" t="s">
        <v>24</v>
      </c>
      <c r="L146" s="3" t="n">
        <v>74</v>
      </c>
      <c r="M146" s="4" t="n">
        <f aca="false">L146*J146</f>
        <v>518</v>
      </c>
      <c r="N146" s="4" t="n">
        <f aca="false">L146*I146</f>
        <v>333</v>
      </c>
      <c r="O146" s="4" t="n">
        <f aca="false">M146-N146</f>
        <v>185</v>
      </c>
      <c r="P146" s="5" t="n">
        <f aca="false">IFERROR(O146/M146,0)</f>
        <v>0.357142857142857</v>
      </c>
    </row>
    <row r="147" customFormat="false" ht="15" hidden="false" customHeight="true" outlineLevel="0" collapsed="false">
      <c r="A147" s="6" t="s">
        <v>53</v>
      </c>
      <c r="B147" s="6" t="s">
        <v>54</v>
      </c>
      <c r="C147" s="6" t="s">
        <v>18</v>
      </c>
      <c r="D147" s="6" t="s">
        <v>55</v>
      </c>
      <c r="E147" s="6" t="s">
        <v>56</v>
      </c>
      <c r="F147" s="6" t="s">
        <v>36</v>
      </c>
      <c r="G147" s="6" t="s">
        <v>37</v>
      </c>
      <c r="H147" s="6" t="s">
        <v>23</v>
      </c>
      <c r="I147" s="7" t="n">
        <v>4.5</v>
      </c>
      <c r="J147" s="7" t="n">
        <v>7</v>
      </c>
      <c r="K147" s="6" t="s">
        <v>25</v>
      </c>
      <c r="L147" s="6" t="n">
        <v>282</v>
      </c>
      <c r="M147" s="7" t="n">
        <f aca="false">L147*J147</f>
        <v>1974</v>
      </c>
      <c r="N147" s="7" t="n">
        <f aca="false">L147*I147</f>
        <v>1269</v>
      </c>
      <c r="O147" s="7" t="n">
        <f aca="false">M147-N147</f>
        <v>705</v>
      </c>
      <c r="P147" s="8" t="n">
        <f aca="false">IFERROR(O147/M147,0)</f>
        <v>0.357142857142857</v>
      </c>
    </row>
    <row r="148" customFormat="false" ht="15" hidden="false" customHeight="true" outlineLevel="0" collapsed="false">
      <c r="A148" s="3" t="s">
        <v>53</v>
      </c>
      <c r="B148" s="3" t="s">
        <v>54</v>
      </c>
      <c r="C148" s="3" t="s">
        <v>18</v>
      </c>
      <c r="D148" s="3" t="s">
        <v>55</v>
      </c>
      <c r="E148" s="3" t="s">
        <v>56</v>
      </c>
      <c r="F148" s="3" t="s">
        <v>36</v>
      </c>
      <c r="G148" s="3" t="s">
        <v>37</v>
      </c>
      <c r="H148" s="3" t="s">
        <v>23</v>
      </c>
      <c r="I148" s="4" t="n">
        <v>4.5</v>
      </c>
      <c r="J148" s="4" t="n">
        <v>7</v>
      </c>
      <c r="K148" s="3" t="s">
        <v>26</v>
      </c>
      <c r="L148" s="3" t="n">
        <v>175</v>
      </c>
      <c r="M148" s="4" t="n">
        <f aca="false">L148*J148</f>
        <v>1225</v>
      </c>
      <c r="N148" s="4" t="n">
        <f aca="false">L148*I148</f>
        <v>787.5</v>
      </c>
      <c r="O148" s="4" t="n">
        <f aca="false">M148-N148</f>
        <v>437.5</v>
      </c>
      <c r="P148" s="5" t="n">
        <f aca="false">IFERROR(O148/M148,0)</f>
        <v>0.357142857142857</v>
      </c>
    </row>
    <row r="149" customFormat="false" ht="15" hidden="false" customHeight="true" outlineLevel="0" collapsed="false">
      <c r="A149" s="6" t="s">
        <v>53</v>
      </c>
      <c r="B149" s="6" t="s">
        <v>54</v>
      </c>
      <c r="C149" s="6" t="s">
        <v>18</v>
      </c>
      <c r="D149" s="6" t="s">
        <v>55</v>
      </c>
      <c r="E149" s="6" t="s">
        <v>56</v>
      </c>
      <c r="F149" s="6" t="s">
        <v>36</v>
      </c>
      <c r="G149" s="6" t="s">
        <v>37</v>
      </c>
      <c r="H149" s="6" t="s">
        <v>23</v>
      </c>
      <c r="I149" s="7" t="n">
        <v>4.5</v>
      </c>
      <c r="J149" s="7" t="n">
        <v>7</v>
      </c>
      <c r="K149" s="6" t="s">
        <v>27</v>
      </c>
      <c r="L149" s="6" t="n">
        <v>196</v>
      </c>
      <c r="M149" s="7" t="n">
        <f aca="false">L149*J149</f>
        <v>1372</v>
      </c>
      <c r="N149" s="7" t="n">
        <f aca="false">L149*I149</f>
        <v>882</v>
      </c>
      <c r="O149" s="7" t="n">
        <f aca="false">M149-N149</f>
        <v>490</v>
      </c>
      <c r="P149" s="8" t="n">
        <f aca="false">IFERROR(O149/M149,0)</f>
        <v>0.357142857142857</v>
      </c>
    </row>
    <row r="150" customFormat="false" ht="15" hidden="false" customHeight="true" outlineLevel="0" collapsed="false">
      <c r="A150" s="3" t="s">
        <v>53</v>
      </c>
      <c r="B150" s="3" t="s">
        <v>54</v>
      </c>
      <c r="C150" s="3" t="s">
        <v>18</v>
      </c>
      <c r="D150" s="3" t="s">
        <v>55</v>
      </c>
      <c r="E150" s="3" t="s">
        <v>56</v>
      </c>
      <c r="F150" s="3" t="s">
        <v>36</v>
      </c>
      <c r="G150" s="3" t="s">
        <v>37</v>
      </c>
      <c r="H150" s="3" t="s">
        <v>23</v>
      </c>
      <c r="I150" s="4" t="n">
        <v>4.5</v>
      </c>
      <c r="J150" s="4" t="n">
        <v>7</v>
      </c>
      <c r="K150" s="3" t="s">
        <v>28</v>
      </c>
      <c r="L150" s="3" t="n">
        <v>200</v>
      </c>
      <c r="M150" s="4" t="n">
        <f aca="false">L150*J150</f>
        <v>1400</v>
      </c>
      <c r="N150" s="4" t="n">
        <f aca="false">L150*I150</f>
        <v>900</v>
      </c>
      <c r="O150" s="4" t="n">
        <f aca="false">M150-N150</f>
        <v>500</v>
      </c>
      <c r="P150" s="5" t="n">
        <f aca="false">IFERROR(O150/M150,0)</f>
        <v>0.357142857142857</v>
      </c>
    </row>
    <row r="151" customFormat="false" ht="15" hidden="false" customHeight="true" outlineLevel="0" collapsed="false">
      <c r="A151" s="6" t="s">
        <v>53</v>
      </c>
      <c r="B151" s="6" t="s">
        <v>54</v>
      </c>
      <c r="C151" s="6" t="s">
        <v>18</v>
      </c>
      <c r="D151" s="6" t="s">
        <v>55</v>
      </c>
      <c r="E151" s="6" t="s">
        <v>56</v>
      </c>
      <c r="F151" s="6" t="s">
        <v>36</v>
      </c>
      <c r="G151" s="6" t="s">
        <v>37</v>
      </c>
      <c r="H151" s="6" t="s">
        <v>23</v>
      </c>
      <c r="I151" s="7" t="n">
        <v>4.5</v>
      </c>
      <c r="J151" s="7" t="n">
        <v>7</v>
      </c>
      <c r="K151" s="6" t="s">
        <v>29</v>
      </c>
      <c r="L151" s="6" t="n">
        <v>136</v>
      </c>
      <c r="M151" s="7" t="n">
        <f aca="false">L151*J151</f>
        <v>952</v>
      </c>
      <c r="N151" s="7" t="n">
        <f aca="false">L151*I151</f>
        <v>612</v>
      </c>
      <c r="O151" s="7" t="n">
        <f aca="false">M151-N151</f>
        <v>340</v>
      </c>
      <c r="P151" s="8" t="n">
        <f aca="false">IFERROR(O151/M151,0)</f>
        <v>0.357142857142857</v>
      </c>
    </row>
    <row r="152" customFormat="false" ht="15" hidden="false" customHeight="true" outlineLevel="0" collapsed="false">
      <c r="A152" s="3" t="s">
        <v>53</v>
      </c>
      <c r="B152" s="3" t="s">
        <v>54</v>
      </c>
      <c r="C152" s="3" t="s">
        <v>18</v>
      </c>
      <c r="D152" s="3" t="s">
        <v>55</v>
      </c>
      <c r="E152" s="3" t="s">
        <v>56</v>
      </c>
      <c r="F152" s="3" t="s">
        <v>38</v>
      </c>
      <c r="G152" s="3" t="s">
        <v>39</v>
      </c>
      <c r="H152" s="3" t="s">
        <v>23</v>
      </c>
      <c r="I152" s="4" t="n">
        <v>9.9</v>
      </c>
      <c r="J152" s="4" t="n">
        <v>18</v>
      </c>
      <c r="K152" s="3" t="s">
        <v>24</v>
      </c>
      <c r="L152" s="3" t="n">
        <v>187</v>
      </c>
      <c r="M152" s="4" t="n">
        <f aca="false">L152*J152</f>
        <v>3366</v>
      </c>
      <c r="N152" s="4" t="n">
        <f aca="false">L152*I152</f>
        <v>1851.3</v>
      </c>
      <c r="O152" s="4" t="n">
        <f aca="false">M152-N152</f>
        <v>1514.7</v>
      </c>
      <c r="P152" s="5" t="n">
        <f aca="false">IFERROR(O152/M152,0)</f>
        <v>0.45</v>
      </c>
    </row>
    <row r="153" customFormat="false" ht="15" hidden="false" customHeight="true" outlineLevel="0" collapsed="false">
      <c r="A153" s="6" t="s">
        <v>53</v>
      </c>
      <c r="B153" s="6" t="s">
        <v>54</v>
      </c>
      <c r="C153" s="6" t="s">
        <v>18</v>
      </c>
      <c r="D153" s="6" t="s">
        <v>55</v>
      </c>
      <c r="E153" s="6" t="s">
        <v>56</v>
      </c>
      <c r="F153" s="6" t="s">
        <v>38</v>
      </c>
      <c r="G153" s="6" t="s">
        <v>39</v>
      </c>
      <c r="H153" s="6" t="s">
        <v>23</v>
      </c>
      <c r="I153" s="7" t="n">
        <v>9.9</v>
      </c>
      <c r="J153" s="7" t="n">
        <v>18</v>
      </c>
      <c r="K153" s="6" t="s">
        <v>25</v>
      </c>
      <c r="L153" s="6" t="n">
        <v>173</v>
      </c>
      <c r="M153" s="7" t="n">
        <f aca="false">L153*J153</f>
        <v>3114</v>
      </c>
      <c r="N153" s="7" t="n">
        <f aca="false">L153*I153</f>
        <v>1712.7</v>
      </c>
      <c r="O153" s="7" t="n">
        <f aca="false">M153-N153</f>
        <v>1401.3</v>
      </c>
      <c r="P153" s="8" t="n">
        <f aca="false">IFERROR(O153/M153,0)</f>
        <v>0.45</v>
      </c>
    </row>
    <row r="154" customFormat="false" ht="15" hidden="false" customHeight="true" outlineLevel="0" collapsed="false">
      <c r="A154" s="3" t="s">
        <v>53</v>
      </c>
      <c r="B154" s="3" t="s">
        <v>54</v>
      </c>
      <c r="C154" s="3" t="s">
        <v>18</v>
      </c>
      <c r="D154" s="3" t="s">
        <v>55</v>
      </c>
      <c r="E154" s="3" t="s">
        <v>56</v>
      </c>
      <c r="F154" s="3" t="s">
        <v>38</v>
      </c>
      <c r="G154" s="3" t="s">
        <v>39</v>
      </c>
      <c r="H154" s="3" t="s">
        <v>23</v>
      </c>
      <c r="I154" s="4" t="n">
        <v>9.9</v>
      </c>
      <c r="J154" s="4" t="n">
        <v>18</v>
      </c>
      <c r="K154" s="3" t="s">
        <v>26</v>
      </c>
      <c r="L154" s="3" t="n">
        <v>41</v>
      </c>
      <c r="M154" s="4" t="n">
        <f aca="false">L154*J154</f>
        <v>738</v>
      </c>
      <c r="N154" s="4" t="n">
        <f aca="false">L154*I154</f>
        <v>405.9</v>
      </c>
      <c r="O154" s="4" t="n">
        <f aca="false">M154-N154</f>
        <v>332.1</v>
      </c>
      <c r="P154" s="5" t="n">
        <f aca="false">IFERROR(O154/M154,0)</f>
        <v>0.45</v>
      </c>
    </row>
    <row r="155" customFormat="false" ht="15" hidden="false" customHeight="true" outlineLevel="0" collapsed="false">
      <c r="A155" s="6" t="s">
        <v>53</v>
      </c>
      <c r="B155" s="6" t="s">
        <v>54</v>
      </c>
      <c r="C155" s="6" t="s">
        <v>18</v>
      </c>
      <c r="D155" s="6" t="s">
        <v>55</v>
      </c>
      <c r="E155" s="6" t="s">
        <v>56</v>
      </c>
      <c r="F155" s="6" t="s">
        <v>38</v>
      </c>
      <c r="G155" s="6" t="s">
        <v>39</v>
      </c>
      <c r="H155" s="6" t="s">
        <v>23</v>
      </c>
      <c r="I155" s="7" t="n">
        <v>9.9</v>
      </c>
      <c r="J155" s="7" t="n">
        <v>18</v>
      </c>
      <c r="K155" s="6" t="s">
        <v>27</v>
      </c>
      <c r="L155" s="6" t="n">
        <v>77</v>
      </c>
      <c r="M155" s="7" t="n">
        <f aca="false">L155*J155</f>
        <v>1386</v>
      </c>
      <c r="N155" s="7" t="n">
        <f aca="false">L155*I155</f>
        <v>762.3</v>
      </c>
      <c r="O155" s="7" t="n">
        <f aca="false">M155-N155</f>
        <v>623.7</v>
      </c>
      <c r="P155" s="8" t="n">
        <f aca="false">IFERROR(O155/M155,0)</f>
        <v>0.45</v>
      </c>
    </row>
    <row r="156" customFormat="false" ht="15" hidden="false" customHeight="true" outlineLevel="0" collapsed="false">
      <c r="A156" s="3" t="s">
        <v>53</v>
      </c>
      <c r="B156" s="3" t="s">
        <v>54</v>
      </c>
      <c r="C156" s="3" t="s">
        <v>18</v>
      </c>
      <c r="D156" s="3" t="s">
        <v>55</v>
      </c>
      <c r="E156" s="3" t="s">
        <v>56</v>
      </c>
      <c r="F156" s="3" t="s">
        <v>38</v>
      </c>
      <c r="G156" s="3" t="s">
        <v>39</v>
      </c>
      <c r="H156" s="3" t="s">
        <v>23</v>
      </c>
      <c r="I156" s="4" t="n">
        <v>9.9</v>
      </c>
      <c r="J156" s="4" t="n">
        <v>18</v>
      </c>
      <c r="K156" s="3" t="s">
        <v>28</v>
      </c>
      <c r="L156" s="3" t="n">
        <v>172</v>
      </c>
      <c r="M156" s="4" t="n">
        <f aca="false">L156*J156</f>
        <v>3096</v>
      </c>
      <c r="N156" s="4" t="n">
        <f aca="false">L156*I156</f>
        <v>1702.8</v>
      </c>
      <c r="O156" s="4" t="n">
        <f aca="false">M156-N156</f>
        <v>1393.2</v>
      </c>
      <c r="P156" s="5" t="n">
        <f aca="false">IFERROR(O156/M156,0)</f>
        <v>0.45</v>
      </c>
    </row>
    <row r="157" customFormat="false" ht="15" hidden="false" customHeight="true" outlineLevel="0" collapsed="false">
      <c r="A157" s="6" t="s">
        <v>53</v>
      </c>
      <c r="B157" s="6" t="s">
        <v>54</v>
      </c>
      <c r="C157" s="6" t="s">
        <v>18</v>
      </c>
      <c r="D157" s="6" t="s">
        <v>55</v>
      </c>
      <c r="E157" s="6" t="s">
        <v>56</v>
      </c>
      <c r="F157" s="6" t="s">
        <v>38</v>
      </c>
      <c r="G157" s="6" t="s">
        <v>39</v>
      </c>
      <c r="H157" s="6" t="s">
        <v>23</v>
      </c>
      <c r="I157" s="7" t="n">
        <v>9.9</v>
      </c>
      <c r="J157" s="7" t="n">
        <v>18</v>
      </c>
      <c r="K157" s="6" t="s">
        <v>29</v>
      </c>
      <c r="L157" s="6" t="n">
        <v>208</v>
      </c>
      <c r="M157" s="7" t="n">
        <f aca="false">L157*J157</f>
        <v>3744</v>
      </c>
      <c r="N157" s="7" t="n">
        <f aca="false">L157*I157</f>
        <v>2059.2</v>
      </c>
      <c r="O157" s="7" t="n">
        <f aca="false">M157-N157</f>
        <v>1684.8</v>
      </c>
      <c r="P157" s="8" t="n">
        <f aca="false">IFERROR(O157/M157,0)</f>
        <v>0.45</v>
      </c>
    </row>
    <row r="158" customFormat="false" ht="15" hidden="false" customHeight="true" outlineLevel="0" collapsed="false">
      <c r="A158" s="3" t="s">
        <v>53</v>
      </c>
      <c r="B158" s="3" t="s">
        <v>54</v>
      </c>
      <c r="C158" s="3" t="s">
        <v>18</v>
      </c>
      <c r="D158" s="3" t="s">
        <v>55</v>
      </c>
      <c r="E158" s="3" t="s">
        <v>56</v>
      </c>
      <c r="F158" s="3" t="s">
        <v>40</v>
      </c>
      <c r="G158" s="3" t="s">
        <v>41</v>
      </c>
      <c r="H158" s="3" t="s">
        <v>42</v>
      </c>
      <c r="I158" s="4" t="n">
        <v>3.5</v>
      </c>
      <c r="J158" s="4" t="n">
        <v>6.5</v>
      </c>
      <c r="K158" s="3" t="s">
        <v>24</v>
      </c>
      <c r="L158" s="3" t="n">
        <v>200</v>
      </c>
      <c r="M158" s="4" t="n">
        <f aca="false">L158*J158</f>
        <v>1300</v>
      </c>
      <c r="N158" s="4" t="n">
        <f aca="false">L158*I158</f>
        <v>700</v>
      </c>
      <c r="O158" s="4" t="n">
        <f aca="false">M158-N158</f>
        <v>600</v>
      </c>
      <c r="P158" s="5" t="n">
        <f aca="false">IFERROR(O158/M158,0)</f>
        <v>0.461538461538462</v>
      </c>
    </row>
    <row r="159" customFormat="false" ht="15" hidden="false" customHeight="true" outlineLevel="0" collapsed="false">
      <c r="A159" s="6" t="s">
        <v>53</v>
      </c>
      <c r="B159" s="6" t="s">
        <v>54</v>
      </c>
      <c r="C159" s="6" t="s">
        <v>18</v>
      </c>
      <c r="D159" s="6" t="s">
        <v>55</v>
      </c>
      <c r="E159" s="6" t="s">
        <v>56</v>
      </c>
      <c r="F159" s="6" t="s">
        <v>40</v>
      </c>
      <c r="G159" s="6" t="s">
        <v>41</v>
      </c>
      <c r="H159" s="6" t="s">
        <v>42</v>
      </c>
      <c r="I159" s="7" t="n">
        <v>3.5</v>
      </c>
      <c r="J159" s="7" t="n">
        <v>6.5</v>
      </c>
      <c r="K159" s="6" t="s">
        <v>25</v>
      </c>
      <c r="L159" s="6" t="n">
        <v>148</v>
      </c>
      <c r="M159" s="7" t="n">
        <f aca="false">L159*J159</f>
        <v>962</v>
      </c>
      <c r="N159" s="7" t="n">
        <f aca="false">L159*I159</f>
        <v>518</v>
      </c>
      <c r="O159" s="7" t="n">
        <f aca="false">M159-N159</f>
        <v>444</v>
      </c>
      <c r="P159" s="8" t="n">
        <f aca="false">IFERROR(O159/M159,0)</f>
        <v>0.461538461538462</v>
      </c>
    </row>
    <row r="160" customFormat="false" ht="15" hidden="false" customHeight="true" outlineLevel="0" collapsed="false">
      <c r="A160" s="3" t="s">
        <v>53</v>
      </c>
      <c r="B160" s="3" t="s">
        <v>54</v>
      </c>
      <c r="C160" s="3" t="s">
        <v>18</v>
      </c>
      <c r="D160" s="3" t="s">
        <v>55</v>
      </c>
      <c r="E160" s="3" t="s">
        <v>56</v>
      </c>
      <c r="F160" s="3" t="s">
        <v>40</v>
      </c>
      <c r="G160" s="3" t="s">
        <v>41</v>
      </c>
      <c r="H160" s="3" t="s">
        <v>42</v>
      </c>
      <c r="I160" s="4" t="n">
        <v>3.5</v>
      </c>
      <c r="J160" s="4" t="n">
        <v>6.5</v>
      </c>
      <c r="K160" s="3" t="s">
        <v>26</v>
      </c>
      <c r="L160" s="3" t="n">
        <v>187</v>
      </c>
      <c r="M160" s="4" t="n">
        <f aca="false">L160*J160</f>
        <v>1215.5</v>
      </c>
      <c r="N160" s="4" t="n">
        <f aca="false">L160*I160</f>
        <v>654.5</v>
      </c>
      <c r="O160" s="4" t="n">
        <f aca="false">M160-N160</f>
        <v>561</v>
      </c>
      <c r="P160" s="5" t="n">
        <f aca="false">IFERROR(O160/M160,0)</f>
        <v>0.461538461538462</v>
      </c>
    </row>
    <row r="161" customFormat="false" ht="15" hidden="false" customHeight="true" outlineLevel="0" collapsed="false">
      <c r="A161" s="6" t="s">
        <v>53</v>
      </c>
      <c r="B161" s="6" t="s">
        <v>54</v>
      </c>
      <c r="C161" s="6" t="s">
        <v>18</v>
      </c>
      <c r="D161" s="6" t="s">
        <v>55</v>
      </c>
      <c r="E161" s="6" t="s">
        <v>56</v>
      </c>
      <c r="F161" s="6" t="s">
        <v>40</v>
      </c>
      <c r="G161" s="6" t="s">
        <v>41</v>
      </c>
      <c r="H161" s="6" t="s">
        <v>42</v>
      </c>
      <c r="I161" s="7" t="n">
        <v>3.5</v>
      </c>
      <c r="J161" s="7" t="n">
        <v>6.5</v>
      </c>
      <c r="K161" s="6" t="s">
        <v>27</v>
      </c>
      <c r="L161" s="6" t="n">
        <v>273</v>
      </c>
      <c r="M161" s="7" t="n">
        <f aca="false">L161*J161</f>
        <v>1774.5</v>
      </c>
      <c r="N161" s="7" t="n">
        <f aca="false">L161*I161</f>
        <v>955.5</v>
      </c>
      <c r="O161" s="7" t="n">
        <f aca="false">M161-N161</f>
        <v>819</v>
      </c>
      <c r="P161" s="8" t="n">
        <f aca="false">IFERROR(O161/M161,0)</f>
        <v>0.461538461538462</v>
      </c>
    </row>
    <row r="162" customFormat="false" ht="15" hidden="false" customHeight="true" outlineLevel="0" collapsed="false">
      <c r="A162" s="3" t="s">
        <v>53</v>
      </c>
      <c r="B162" s="3" t="s">
        <v>54</v>
      </c>
      <c r="C162" s="3" t="s">
        <v>18</v>
      </c>
      <c r="D162" s="3" t="s">
        <v>55</v>
      </c>
      <c r="E162" s="3" t="s">
        <v>56</v>
      </c>
      <c r="F162" s="3" t="s">
        <v>40</v>
      </c>
      <c r="G162" s="3" t="s">
        <v>41</v>
      </c>
      <c r="H162" s="3" t="s">
        <v>42</v>
      </c>
      <c r="I162" s="4" t="n">
        <v>3.5</v>
      </c>
      <c r="J162" s="4" t="n">
        <v>6.5</v>
      </c>
      <c r="K162" s="3" t="s">
        <v>28</v>
      </c>
      <c r="L162" s="3" t="n">
        <v>229</v>
      </c>
      <c r="M162" s="4" t="n">
        <f aca="false">L162*J162</f>
        <v>1488.5</v>
      </c>
      <c r="N162" s="4" t="n">
        <f aca="false">L162*I162</f>
        <v>801.5</v>
      </c>
      <c r="O162" s="4" t="n">
        <f aca="false">M162-N162</f>
        <v>687</v>
      </c>
      <c r="P162" s="5" t="n">
        <f aca="false">IFERROR(O162/M162,0)</f>
        <v>0.461538461538462</v>
      </c>
    </row>
    <row r="163" customFormat="false" ht="15" hidden="false" customHeight="true" outlineLevel="0" collapsed="false">
      <c r="A163" s="6" t="s">
        <v>53</v>
      </c>
      <c r="B163" s="6" t="s">
        <v>54</v>
      </c>
      <c r="C163" s="6" t="s">
        <v>18</v>
      </c>
      <c r="D163" s="6" t="s">
        <v>55</v>
      </c>
      <c r="E163" s="6" t="s">
        <v>56</v>
      </c>
      <c r="F163" s="6" t="s">
        <v>40</v>
      </c>
      <c r="G163" s="6" t="s">
        <v>41</v>
      </c>
      <c r="H163" s="6" t="s">
        <v>42</v>
      </c>
      <c r="I163" s="7" t="n">
        <v>3.5</v>
      </c>
      <c r="J163" s="7" t="n">
        <v>6.5</v>
      </c>
      <c r="K163" s="6" t="s">
        <v>29</v>
      </c>
      <c r="L163" s="6" t="n">
        <v>380</v>
      </c>
      <c r="M163" s="7" t="n">
        <f aca="false">L163*J163</f>
        <v>2470</v>
      </c>
      <c r="N163" s="7" t="n">
        <f aca="false">L163*I163</f>
        <v>1330</v>
      </c>
      <c r="O163" s="7" t="n">
        <f aca="false">M163-N163</f>
        <v>1140</v>
      </c>
      <c r="P163" s="8" t="n">
        <f aca="false">IFERROR(O163/M163,0)</f>
        <v>0.461538461538462</v>
      </c>
    </row>
    <row r="164" customFormat="false" ht="15" hidden="false" customHeight="true" outlineLevel="0" collapsed="false">
      <c r="A164" s="3" t="s">
        <v>53</v>
      </c>
      <c r="B164" s="3" t="s">
        <v>54</v>
      </c>
      <c r="C164" s="3" t="s">
        <v>18</v>
      </c>
      <c r="D164" s="3" t="s">
        <v>55</v>
      </c>
      <c r="E164" s="3" t="s">
        <v>56</v>
      </c>
      <c r="F164" s="3" t="s">
        <v>43</v>
      </c>
      <c r="G164" s="3" t="s">
        <v>44</v>
      </c>
      <c r="H164" s="3" t="s">
        <v>42</v>
      </c>
      <c r="I164" s="4" t="n">
        <v>2</v>
      </c>
      <c r="J164" s="4" t="n">
        <v>3.8</v>
      </c>
      <c r="K164" s="3" t="s">
        <v>24</v>
      </c>
      <c r="L164" s="3" t="n">
        <v>176</v>
      </c>
      <c r="M164" s="4" t="n">
        <f aca="false">L164*J164</f>
        <v>668.8</v>
      </c>
      <c r="N164" s="4" t="n">
        <f aca="false">L164*I164</f>
        <v>352</v>
      </c>
      <c r="O164" s="4" t="n">
        <f aca="false">M164-N164</f>
        <v>316.8</v>
      </c>
      <c r="P164" s="5" t="n">
        <f aca="false">IFERROR(O164/M164,0)</f>
        <v>0.473684210526316</v>
      </c>
    </row>
    <row r="165" customFormat="false" ht="15" hidden="false" customHeight="true" outlineLevel="0" collapsed="false">
      <c r="A165" s="6" t="s">
        <v>53</v>
      </c>
      <c r="B165" s="6" t="s">
        <v>54</v>
      </c>
      <c r="C165" s="6" t="s">
        <v>18</v>
      </c>
      <c r="D165" s="6" t="s">
        <v>55</v>
      </c>
      <c r="E165" s="6" t="s">
        <v>56</v>
      </c>
      <c r="F165" s="6" t="s">
        <v>43</v>
      </c>
      <c r="G165" s="6" t="s">
        <v>44</v>
      </c>
      <c r="H165" s="6" t="s">
        <v>42</v>
      </c>
      <c r="I165" s="7" t="n">
        <v>2</v>
      </c>
      <c r="J165" s="7" t="n">
        <v>3.8</v>
      </c>
      <c r="K165" s="6" t="s">
        <v>25</v>
      </c>
      <c r="L165" s="6" t="n">
        <v>91</v>
      </c>
      <c r="M165" s="7" t="n">
        <f aca="false">L165*J165</f>
        <v>345.8</v>
      </c>
      <c r="N165" s="7" t="n">
        <f aca="false">L165*I165</f>
        <v>182</v>
      </c>
      <c r="O165" s="7" t="n">
        <f aca="false">M165-N165</f>
        <v>163.8</v>
      </c>
      <c r="P165" s="8" t="n">
        <f aca="false">IFERROR(O165/M165,0)</f>
        <v>0.473684210526316</v>
      </c>
    </row>
    <row r="166" customFormat="false" ht="15" hidden="false" customHeight="true" outlineLevel="0" collapsed="false">
      <c r="A166" s="3" t="s">
        <v>53</v>
      </c>
      <c r="B166" s="3" t="s">
        <v>54</v>
      </c>
      <c r="C166" s="3" t="s">
        <v>18</v>
      </c>
      <c r="D166" s="3" t="s">
        <v>55</v>
      </c>
      <c r="E166" s="3" t="s">
        <v>56</v>
      </c>
      <c r="F166" s="3" t="s">
        <v>43</v>
      </c>
      <c r="G166" s="3" t="s">
        <v>44</v>
      </c>
      <c r="H166" s="3" t="s">
        <v>42</v>
      </c>
      <c r="I166" s="4" t="n">
        <v>2</v>
      </c>
      <c r="J166" s="4" t="n">
        <v>3.8</v>
      </c>
      <c r="K166" s="3" t="s">
        <v>26</v>
      </c>
      <c r="L166" s="3" t="n">
        <v>90</v>
      </c>
      <c r="M166" s="4" t="n">
        <f aca="false">L166*J166</f>
        <v>342</v>
      </c>
      <c r="N166" s="4" t="n">
        <f aca="false">L166*I166</f>
        <v>180</v>
      </c>
      <c r="O166" s="4" t="n">
        <f aca="false">M166-N166</f>
        <v>162</v>
      </c>
      <c r="P166" s="5" t="n">
        <f aca="false">IFERROR(O166/M166,0)</f>
        <v>0.473684210526316</v>
      </c>
    </row>
    <row r="167" customFormat="false" ht="15" hidden="false" customHeight="true" outlineLevel="0" collapsed="false">
      <c r="A167" s="6" t="s">
        <v>53</v>
      </c>
      <c r="B167" s="6" t="s">
        <v>54</v>
      </c>
      <c r="C167" s="6" t="s">
        <v>18</v>
      </c>
      <c r="D167" s="6" t="s">
        <v>55</v>
      </c>
      <c r="E167" s="6" t="s">
        <v>56</v>
      </c>
      <c r="F167" s="6" t="s">
        <v>43</v>
      </c>
      <c r="G167" s="6" t="s">
        <v>44</v>
      </c>
      <c r="H167" s="6" t="s">
        <v>42</v>
      </c>
      <c r="I167" s="7" t="n">
        <v>2</v>
      </c>
      <c r="J167" s="7" t="n">
        <v>3.8</v>
      </c>
      <c r="K167" s="6" t="s">
        <v>27</v>
      </c>
      <c r="L167" s="6" t="n">
        <v>112</v>
      </c>
      <c r="M167" s="7" t="n">
        <f aca="false">L167*J167</f>
        <v>425.6</v>
      </c>
      <c r="N167" s="7" t="n">
        <f aca="false">L167*I167</f>
        <v>224</v>
      </c>
      <c r="O167" s="7" t="n">
        <f aca="false">M167-N167</f>
        <v>201.6</v>
      </c>
      <c r="P167" s="8" t="n">
        <f aca="false">IFERROR(O167/M167,0)</f>
        <v>0.473684210526316</v>
      </c>
    </row>
    <row r="168" customFormat="false" ht="15" hidden="false" customHeight="true" outlineLevel="0" collapsed="false">
      <c r="A168" s="3" t="s">
        <v>53</v>
      </c>
      <c r="B168" s="3" t="s">
        <v>54</v>
      </c>
      <c r="C168" s="3" t="s">
        <v>18</v>
      </c>
      <c r="D168" s="3" t="s">
        <v>55</v>
      </c>
      <c r="E168" s="3" t="s">
        <v>56</v>
      </c>
      <c r="F168" s="3" t="s">
        <v>43</v>
      </c>
      <c r="G168" s="3" t="s">
        <v>44</v>
      </c>
      <c r="H168" s="3" t="s">
        <v>42</v>
      </c>
      <c r="I168" s="4" t="n">
        <v>2</v>
      </c>
      <c r="J168" s="4" t="n">
        <v>3.8</v>
      </c>
      <c r="K168" s="3" t="s">
        <v>28</v>
      </c>
      <c r="L168" s="3" t="n">
        <v>217</v>
      </c>
      <c r="M168" s="4" t="n">
        <f aca="false">L168*J168</f>
        <v>824.6</v>
      </c>
      <c r="N168" s="4" t="n">
        <f aca="false">L168*I168</f>
        <v>434</v>
      </c>
      <c r="O168" s="4" t="n">
        <f aca="false">M168-N168</f>
        <v>390.6</v>
      </c>
      <c r="P168" s="5" t="n">
        <f aca="false">IFERROR(O168/M168,0)</f>
        <v>0.473684210526316</v>
      </c>
    </row>
    <row r="169" customFormat="false" ht="15" hidden="false" customHeight="true" outlineLevel="0" collapsed="false">
      <c r="A169" s="6" t="s">
        <v>53</v>
      </c>
      <c r="B169" s="6" t="s">
        <v>54</v>
      </c>
      <c r="C169" s="6" t="s">
        <v>18</v>
      </c>
      <c r="D169" s="6" t="s">
        <v>55</v>
      </c>
      <c r="E169" s="6" t="s">
        <v>56</v>
      </c>
      <c r="F169" s="6" t="s">
        <v>43</v>
      </c>
      <c r="G169" s="6" t="s">
        <v>44</v>
      </c>
      <c r="H169" s="6" t="s">
        <v>42</v>
      </c>
      <c r="I169" s="7" t="n">
        <v>2</v>
      </c>
      <c r="J169" s="7" t="n">
        <v>3.8</v>
      </c>
      <c r="K169" s="6" t="s">
        <v>29</v>
      </c>
      <c r="L169" s="6" t="n">
        <v>178</v>
      </c>
      <c r="M169" s="7" t="n">
        <f aca="false">L169*J169</f>
        <v>676.4</v>
      </c>
      <c r="N169" s="7" t="n">
        <f aca="false">L169*I169</f>
        <v>356</v>
      </c>
      <c r="O169" s="7" t="n">
        <f aca="false">M169-N169</f>
        <v>320.4</v>
      </c>
      <c r="P169" s="8" t="n">
        <f aca="false">IFERROR(O169/M169,0)</f>
        <v>0.473684210526316</v>
      </c>
    </row>
    <row r="170" customFormat="false" ht="15" hidden="false" customHeight="true" outlineLevel="0" collapsed="false">
      <c r="A170" s="3" t="s">
        <v>53</v>
      </c>
      <c r="B170" s="3" t="s">
        <v>54</v>
      </c>
      <c r="C170" s="3" t="s">
        <v>18</v>
      </c>
      <c r="D170" s="3" t="s">
        <v>55</v>
      </c>
      <c r="E170" s="3" t="s">
        <v>56</v>
      </c>
      <c r="F170" s="3" t="s">
        <v>45</v>
      </c>
      <c r="G170" s="3" t="s">
        <v>46</v>
      </c>
      <c r="H170" s="3" t="s">
        <v>42</v>
      </c>
      <c r="I170" s="4" t="n">
        <v>5</v>
      </c>
      <c r="J170" s="4" t="n">
        <v>10</v>
      </c>
      <c r="K170" s="3" t="s">
        <v>24</v>
      </c>
      <c r="L170" s="3" t="n">
        <v>144</v>
      </c>
      <c r="M170" s="4" t="n">
        <f aca="false">L170*J170</f>
        <v>1440</v>
      </c>
      <c r="N170" s="4" t="n">
        <f aca="false">L170*I170</f>
        <v>720</v>
      </c>
      <c r="O170" s="4" t="n">
        <f aca="false">M170-N170</f>
        <v>720</v>
      </c>
      <c r="P170" s="5" t="n">
        <f aca="false">IFERROR(O170/M170,0)</f>
        <v>0.5</v>
      </c>
    </row>
    <row r="171" customFormat="false" ht="15" hidden="false" customHeight="true" outlineLevel="0" collapsed="false">
      <c r="A171" s="6" t="s">
        <v>53</v>
      </c>
      <c r="B171" s="6" t="s">
        <v>54</v>
      </c>
      <c r="C171" s="6" t="s">
        <v>18</v>
      </c>
      <c r="D171" s="6" t="s">
        <v>55</v>
      </c>
      <c r="E171" s="6" t="s">
        <v>56</v>
      </c>
      <c r="F171" s="6" t="s">
        <v>45</v>
      </c>
      <c r="G171" s="6" t="s">
        <v>46</v>
      </c>
      <c r="H171" s="6" t="s">
        <v>42</v>
      </c>
      <c r="I171" s="7" t="n">
        <v>5</v>
      </c>
      <c r="J171" s="7" t="n">
        <v>10</v>
      </c>
      <c r="K171" s="6" t="s">
        <v>25</v>
      </c>
      <c r="L171" s="6" t="n">
        <v>162</v>
      </c>
      <c r="M171" s="7" t="n">
        <f aca="false">L171*J171</f>
        <v>1620</v>
      </c>
      <c r="N171" s="7" t="n">
        <f aca="false">L171*I171</f>
        <v>810</v>
      </c>
      <c r="O171" s="7" t="n">
        <f aca="false">M171-N171</f>
        <v>810</v>
      </c>
      <c r="P171" s="8" t="n">
        <f aca="false">IFERROR(O171/M171,0)</f>
        <v>0.5</v>
      </c>
    </row>
    <row r="172" customFormat="false" ht="15" hidden="false" customHeight="true" outlineLevel="0" collapsed="false">
      <c r="A172" s="3" t="s">
        <v>53</v>
      </c>
      <c r="B172" s="3" t="s">
        <v>54</v>
      </c>
      <c r="C172" s="3" t="s">
        <v>18</v>
      </c>
      <c r="D172" s="3" t="s">
        <v>55</v>
      </c>
      <c r="E172" s="3" t="s">
        <v>56</v>
      </c>
      <c r="F172" s="3" t="s">
        <v>45</v>
      </c>
      <c r="G172" s="3" t="s">
        <v>46</v>
      </c>
      <c r="H172" s="3" t="s">
        <v>42</v>
      </c>
      <c r="I172" s="4" t="n">
        <v>5</v>
      </c>
      <c r="J172" s="4" t="n">
        <v>10</v>
      </c>
      <c r="K172" s="3" t="s">
        <v>26</v>
      </c>
      <c r="L172" s="3" t="n">
        <v>306</v>
      </c>
      <c r="M172" s="4" t="n">
        <f aca="false">L172*J172</f>
        <v>3060</v>
      </c>
      <c r="N172" s="4" t="n">
        <f aca="false">L172*I172</f>
        <v>1530</v>
      </c>
      <c r="O172" s="4" t="n">
        <f aca="false">M172-N172</f>
        <v>1530</v>
      </c>
      <c r="P172" s="5" t="n">
        <f aca="false">IFERROR(O172/M172,0)</f>
        <v>0.5</v>
      </c>
    </row>
    <row r="173" customFormat="false" ht="15" hidden="false" customHeight="true" outlineLevel="0" collapsed="false">
      <c r="A173" s="6" t="s">
        <v>53</v>
      </c>
      <c r="B173" s="6" t="s">
        <v>54</v>
      </c>
      <c r="C173" s="6" t="s">
        <v>18</v>
      </c>
      <c r="D173" s="6" t="s">
        <v>55</v>
      </c>
      <c r="E173" s="6" t="s">
        <v>56</v>
      </c>
      <c r="F173" s="6" t="s">
        <v>45</v>
      </c>
      <c r="G173" s="6" t="s">
        <v>46</v>
      </c>
      <c r="H173" s="6" t="s">
        <v>42</v>
      </c>
      <c r="I173" s="7" t="n">
        <v>5</v>
      </c>
      <c r="J173" s="7" t="n">
        <v>10</v>
      </c>
      <c r="K173" s="6" t="s">
        <v>27</v>
      </c>
      <c r="L173" s="6" t="n">
        <v>50</v>
      </c>
      <c r="M173" s="7" t="n">
        <f aca="false">L173*J173</f>
        <v>500</v>
      </c>
      <c r="N173" s="7" t="n">
        <f aca="false">L173*I173</f>
        <v>250</v>
      </c>
      <c r="O173" s="7" t="n">
        <f aca="false">M173-N173</f>
        <v>250</v>
      </c>
      <c r="P173" s="8" t="n">
        <f aca="false">IFERROR(O173/M173,0)</f>
        <v>0.5</v>
      </c>
    </row>
    <row r="174" customFormat="false" ht="15" hidden="false" customHeight="true" outlineLevel="0" collapsed="false">
      <c r="A174" s="3" t="s">
        <v>53</v>
      </c>
      <c r="B174" s="3" t="s">
        <v>54</v>
      </c>
      <c r="C174" s="3" t="s">
        <v>18</v>
      </c>
      <c r="D174" s="3" t="s">
        <v>55</v>
      </c>
      <c r="E174" s="3" t="s">
        <v>56</v>
      </c>
      <c r="F174" s="3" t="s">
        <v>45</v>
      </c>
      <c r="G174" s="3" t="s">
        <v>46</v>
      </c>
      <c r="H174" s="3" t="s">
        <v>42</v>
      </c>
      <c r="I174" s="4" t="n">
        <v>5</v>
      </c>
      <c r="J174" s="4" t="n">
        <v>10</v>
      </c>
      <c r="K174" s="3" t="s">
        <v>28</v>
      </c>
      <c r="L174" s="3" t="n">
        <v>293</v>
      </c>
      <c r="M174" s="4" t="n">
        <f aca="false">L174*J174</f>
        <v>2930</v>
      </c>
      <c r="N174" s="4" t="n">
        <f aca="false">L174*I174</f>
        <v>1465</v>
      </c>
      <c r="O174" s="4" t="n">
        <f aca="false">M174-N174</f>
        <v>1465</v>
      </c>
      <c r="P174" s="5" t="n">
        <f aca="false">IFERROR(O174/M174,0)</f>
        <v>0.5</v>
      </c>
    </row>
    <row r="175" customFormat="false" ht="15" hidden="false" customHeight="true" outlineLevel="0" collapsed="false">
      <c r="A175" s="6" t="s">
        <v>53</v>
      </c>
      <c r="B175" s="6" t="s">
        <v>54</v>
      </c>
      <c r="C175" s="6" t="s">
        <v>18</v>
      </c>
      <c r="D175" s="6" t="s">
        <v>55</v>
      </c>
      <c r="E175" s="6" t="s">
        <v>56</v>
      </c>
      <c r="F175" s="6" t="s">
        <v>45</v>
      </c>
      <c r="G175" s="6" t="s">
        <v>46</v>
      </c>
      <c r="H175" s="6" t="s">
        <v>42</v>
      </c>
      <c r="I175" s="7" t="n">
        <v>5</v>
      </c>
      <c r="J175" s="7" t="n">
        <v>10</v>
      </c>
      <c r="K175" s="6" t="s">
        <v>29</v>
      </c>
      <c r="L175" s="6" t="n">
        <v>57</v>
      </c>
      <c r="M175" s="7" t="n">
        <f aca="false">L175*J175</f>
        <v>570</v>
      </c>
      <c r="N175" s="7" t="n">
        <f aca="false">L175*I175</f>
        <v>285</v>
      </c>
      <c r="O175" s="7" t="n">
        <f aca="false">M175-N175</f>
        <v>285</v>
      </c>
      <c r="P175" s="8" t="n">
        <f aca="false">IFERROR(O175/M175,0)</f>
        <v>0.5</v>
      </c>
    </row>
    <row r="176" customFormat="false" ht="15" hidden="false" customHeight="true" outlineLevel="0" collapsed="false">
      <c r="A176" s="3" t="s">
        <v>53</v>
      </c>
      <c r="B176" s="3" t="s">
        <v>54</v>
      </c>
      <c r="C176" s="3" t="s">
        <v>18</v>
      </c>
      <c r="D176" s="3" t="s">
        <v>55</v>
      </c>
      <c r="E176" s="3" t="s">
        <v>56</v>
      </c>
      <c r="F176" s="3" t="s">
        <v>47</v>
      </c>
      <c r="G176" s="3" t="s">
        <v>48</v>
      </c>
      <c r="H176" s="3" t="s">
        <v>42</v>
      </c>
      <c r="I176" s="4" t="n">
        <v>2.8</v>
      </c>
      <c r="J176" s="4" t="n">
        <v>5.5</v>
      </c>
      <c r="K176" s="3" t="s">
        <v>24</v>
      </c>
      <c r="L176" s="3" t="n">
        <v>194</v>
      </c>
      <c r="M176" s="4" t="n">
        <f aca="false">L176*J176</f>
        <v>1067</v>
      </c>
      <c r="N176" s="4" t="n">
        <f aca="false">L176*I176</f>
        <v>543.2</v>
      </c>
      <c r="O176" s="4" t="n">
        <f aca="false">M176-N176</f>
        <v>523.8</v>
      </c>
      <c r="P176" s="5" t="n">
        <f aca="false">IFERROR(O176/M176,0)</f>
        <v>0.490909090909091</v>
      </c>
    </row>
    <row r="177" customFormat="false" ht="15" hidden="false" customHeight="true" outlineLevel="0" collapsed="false">
      <c r="A177" s="6" t="s">
        <v>53</v>
      </c>
      <c r="B177" s="6" t="s">
        <v>54</v>
      </c>
      <c r="C177" s="6" t="s">
        <v>18</v>
      </c>
      <c r="D177" s="6" t="s">
        <v>55</v>
      </c>
      <c r="E177" s="6" t="s">
        <v>56</v>
      </c>
      <c r="F177" s="6" t="s">
        <v>47</v>
      </c>
      <c r="G177" s="6" t="s">
        <v>48</v>
      </c>
      <c r="H177" s="6" t="s">
        <v>42</v>
      </c>
      <c r="I177" s="7" t="n">
        <v>2.8</v>
      </c>
      <c r="J177" s="7" t="n">
        <v>5.5</v>
      </c>
      <c r="K177" s="6" t="s">
        <v>25</v>
      </c>
      <c r="L177" s="6" t="n">
        <v>150</v>
      </c>
      <c r="M177" s="7" t="n">
        <f aca="false">L177*J177</f>
        <v>825</v>
      </c>
      <c r="N177" s="7" t="n">
        <f aca="false">L177*I177</f>
        <v>420</v>
      </c>
      <c r="O177" s="7" t="n">
        <f aca="false">M177-N177</f>
        <v>405</v>
      </c>
      <c r="P177" s="8" t="n">
        <f aca="false">IFERROR(O177/M177,0)</f>
        <v>0.490909090909091</v>
      </c>
    </row>
    <row r="178" customFormat="false" ht="15" hidden="false" customHeight="true" outlineLevel="0" collapsed="false">
      <c r="A178" s="3" t="s">
        <v>53</v>
      </c>
      <c r="B178" s="3" t="s">
        <v>54</v>
      </c>
      <c r="C178" s="3" t="s">
        <v>18</v>
      </c>
      <c r="D178" s="3" t="s">
        <v>55</v>
      </c>
      <c r="E178" s="3" t="s">
        <v>56</v>
      </c>
      <c r="F178" s="3" t="s">
        <v>47</v>
      </c>
      <c r="G178" s="3" t="s">
        <v>48</v>
      </c>
      <c r="H178" s="3" t="s">
        <v>42</v>
      </c>
      <c r="I178" s="4" t="n">
        <v>2.8</v>
      </c>
      <c r="J178" s="4" t="n">
        <v>5.5</v>
      </c>
      <c r="K178" s="3" t="s">
        <v>26</v>
      </c>
      <c r="L178" s="3" t="n">
        <v>288</v>
      </c>
      <c r="M178" s="4" t="n">
        <f aca="false">L178*J178</f>
        <v>1584</v>
      </c>
      <c r="N178" s="4" t="n">
        <f aca="false">L178*I178</f>
        <v>806.4</v>
      </c>
      <c r="O178" s="4" t="n">
        <f aca="false">M178-N178</f>
        <v>777.6</v>
      </c>
      <c r="P178" s="5" t="n">
        <f aca="false">IFERROR(O178/M178,0)</f>
        <v>0.490909090909091</v>
      </c>
    </row>
    <row r="179" customFormat="false" ht="15" hidden="false" customHeight="true" outlineLevel="0" collapsed="false">
      <c r="A179" s="6" t="s">
        <v>53</v>
      </c>
      <c r="B179" s="6" t="s">
        <v>54</v>
      </c>
      <c r="C179" s="6" t="s">
        <v>18</v>
      </c>
      <c r="D179" s="6" t="s">
        <v>55</v>
      </c>
      <c r="E179" s="6" t="s">
        <v>56</v>
      </c>
      <c r="F179" s="6" t="s">
        <v>47</v>
      </c>
      <c r="G179" s="6" t="s">
        <v>48</v>
      </c>
      <c r="H179" s="6" t="s">
        <v>42</v>
      </c>
      <c r="I179" s="7" t="n">
        <v>2.8</v>
      </c>
      <c r="J179" s="7" t="n">
        <v>5.5</v>
      </c>
      <c r="K179" s="6" t="s">
        <v>27</v>
      </c>
      <c r="L179" s="6" t="n">
        <v>267</v>
      </c>
      <c r="M179" s="7" t="n">
        <f aca="false">L179*J179</f>
        <v>1468.5</v>
      </c>
      <c r="N179" s="7" t="n">
        <f aca="false">L179*I179</f>
        <v>747.6</v>
      </c>
      <c r="O179" s="7" t="n">
        <f aca="false">M179-N179</f>
        <v>720.9</v>
      </c>
      <c r="P179" s="8" t="n">
        <f aca="false">IFERROR(O179/M179,0)</f>
        <v>0.490909090909091</v>
      </c>
    </row>
    <row r="180" customFormat="false" ht="15" hidden="false" customHeight="true" outlineLevel="0" collapsed="false">
      <c r="A180" s="3" t="s">
        <v>53</v>
      </c>
      <c r="B180" s="3" t="s">
        <v>54</v>
      </c>
      <c r="C180" s="3" t="s">
        <v>18</v>
      </c>
      <c r="D180" s="3" t="s">
        <v>55</v>
      </c>
      <c r="E180" s="3" t="s">
        <v>56</v>
      </c>
      <c r="F180" s="3" t="s">
        <v>47</v>
      </c>
      <c r="G180" s="3" t="s">
        <v>48</v>
      </c>
      <c r="H180" s="3" t="s">
        <v>42</v>
      </c>
      <c r="I180" s="4" t="n">
        <v>2.8</v>
      </c>
      <c r="J180" s="4" t="n">
        <v>5.5</v>
      </c>
      <c r="K180" s="3" t="s">
        <v>28</v>
      </c>
      <c r="L180" s="3" t="n">
        <v>33</v>
      </c>
      <c r="M180" s="4" t="n">
        <f aca="false">L180*J180</f>
        <v>181.5</v>
      </c>
      <c r="N180" s="4" t="n">
        <f aca="false">L180*I180</f>
        <v>92.4</v>
      </c>
      <c r="O180" s="4" t="n">
        <f aca="false">M180-N180</f>
        <v>89.1</v>
      </c>
      <c r="P180" s="5" t="n">
        <f aca="false">IFERROR(O180/M180,0)</f>
        <v>0.490909090909091</v>
      </c>
    </row>
    <row r="181" customFormat="false" ht="15" hidden="false" customHeight="true" outlineLevel="0" collapsed="false">
      <c r="A181" s="6" t="s">
        <v>53</v>
      </c>
      <c r="B181" s="6" t="s">
        <v>54</v>
      </c>
      <c r="C181" s="6" t="s">
        <v>18</v>
      </c>
      <c r="D181" s="6" t="s">
        <v>55</v>
      </c>
      <c r="E181" s="6" t="s">
        <v>56</v>
      </c>
      <c r="F181" s="6" t="s">
        <v>47</v>
      </c>
      <c r="G181" s="6" t="s">
        <v>48</v>
      </c>
      <c r="H181" s="6" t="s">
        <v>42</v>
      </c>
      <c r="I181" s="7" t="n">
        <v>2.8</v>
      </c>
      <c r="J181" s="7" t="n">
        <v>5.5</v>
      </c>
      <c r="K181" s="6" t="s">
        <v>29</v>
      </c>
      <c r="L181" s="6" t="n">
        <v>82</v>
      </c>
      <c r="M181" s="7" t="n">
        <f aca="false">L181*J181</f>
        <v>451</v>
      </c>
      <c r="N181" s="7" t="n">
        <f aca="false">L181*I181</f>
        <v>229.6</v>
      </c>
      <c r="O181" s="7" t="n">
        <f aca="false">M181-N181</f>
        <v>221.4</v>
      </c>
      <c r="P181" s="8" t="n">
        <f aca="false">IFERROR(O181/M181,0)</f>
        <v>0.490909090909091</v>
      </c>
    </row>
    <row r="182" customFormat="false" ht="15" hidden="false" customHeight="true" outlineLevel="0" collapsed="false">
      <c r="A182" s="3" t="s">
        <v>57</v>
      </c>
      <c r="B182" s="3" t="s">
        <v>58</v>
      </c>
      <c r="C182" s="3" t="s">
        <v>59</v>
      </c>
      <c r="D182" s="3" t="s">
        <v>60</v>
      </c>
      <c r="E182" s="3" t="s">
        <v>61</v>
      </c>
      <c r="F182" s="3" t="s">
        <v>21</v>
      </c>
      <c r="G182" s="3" t="s">
        <v>22</v>
      </c>
      <c r="H182" s="3" t="s">
        <v>23</v>
      </c>
      <c r="I182" s="4" t="n">
        <v>8.99</v>
      </c>
      <c r="J182" s="4" t="n">
        <v>22</v>
      </c>
      <c r="K182" s="3" t="s">
        <v>24</v>
      </c>
      <c r="L182" s="3" t="n">
        <v>49</v>
      </c>
      <c r="M182" s="4" t="n">
        <f aca="false">L182*J182</f>
        <v>1078</v>
      </c>
      <c r="N182" s="4" t="n">
        <f aca="false">L182*I182</f>
        <v>440.51</v>
      </c>
      <c r="O182" s="4" t="n">
        <f aca="false">M182-N182</f>
        <v>637.49</v>
      </c>
      <c r="P182" s="5" t="n">
        <f aca="false">IFERROR(O182/M182,0)</f>
        <v>0.591363636363636</v>
      </c>
    </row>
    <row r="183" customFormat="false" ht="15" hidden="false" customHeight="true" outlineLevel="0" collapsed="false">
      <c r="A183" s="6" t="s">
        <v>57</v>
      </c>
      <c r="B183" s="6" t="s">
        <v>58</v>
      </c>
      <c r="C183" s="6" t="s">
        <v>59</v>
      </c>
      <c r="D183" s="6" t="s">
        <v>60</v>
      </c>
      <c r="E183" s="6" t="s">
        <v>61</v>
      </c>
      <c r="F183" s="6" t="s">
        <v>21</v>
      </c>
      <c r="G183" s="6" t="s">
        <v>22</v>
      </c>
      <c r="H183" s="6" t="s">
        <v>23</v>
      </c>
      <c r="I183" s="7" t="n">
        <v>8.99</v>
      </c>
      <c r="J183" s="7" t="n">
        <v>22</v>
      </c>
      <c r="K183" s="6" t="s">
        <v>25</v>
      </c>
      <c r="L183" s="6" t="n">
        <v>102</v>
      </c>
      <c r="M183" s="7" t="n">
        <f aca="false">L183*J183</f>
        <v>2244</v>
      </c>
      <c r="N183" s="7" t="n">
        <f aca="false">L183*I183</f>
        <v>916.98</v>
      </c>
      <c r="O183" s="7" t="n">
        <f aca="false">M183-N183</f>
        <v>1327.02</v>
      </c>
      <c r="P183" s="8" t="n">
        <f aca="false">IFERROR(O183/M183,0)</f>
        <v>0.591363636363636</v>
      </c>
    </row>
    <row r="184" customFormat="false" ht="15" hidden="false" customHeight="true" outlineLevel="0" collapsed="false">
      <c r="A184" s="3" t="s">
        <v>57</v>
      </c>
      <c r="B184" s="3" t="s">
        <v>58</v>
      </c>
      <c r="C184" s="3" t="s">
        <v>59</v>
      </c>
      <c r="D184" s="3" t="s">
        <v>60</v>
      </c>
      <c r="E184" s="3" t="s">
        <v>61</v>
      </c>
      <c r="F184" s="3" t="s">
        <v>21</v>
      </c>
      <c r="G184" s="3" t="s">
        <v>22</v>
      </c>
      <c r="H184" s="3" t="s">
        <v>23</v>
      </c>
      <c r="I184" s="4" t="n">
        <v>8.99</v>
      </c>
      <c r="J184" s="4" t="n">
        <v>22</v>
      </c>
      <c r="K184" s="3" t="s">
        <v>26</v>
      </c>
      <c r="L184" s="3" t="n">
        <v>95</v>
      </c>
      <c r="M184" s="4" t="n">
        <f aca="false">L184*J184</f>
        <v>2090</v>
      </c>
      <c r="N184" s="4" t="n">
        <f aca="false">L184*I184</f>
        <v>854.05</v>
      </c>
      <c r="O184" s="4" t="n">
        <f aca="false">M184-N184</f>
        <v>1235.95</v>
      </c>
      <c r="P184" s="5" t="n">
        <f aca="false">IFERROR(O184/M184,0)</f>
        <v>0.591363636363636</v>
      </c>
    </row>
    <row r="185" customFormat="false" ht="15" hidden="false" customHeight="true" outlineLevel="0" collapsed="false">
      <c r="A185" s="6" t="s">
        <v>57</v>
      </c>
      <c r="B185" s="6" t="s">
        <v>58</v>
      </c>
      <c r="C185" s="6" t="s">
        <v>59</v>
      </c>
      <c r="D185" s="6" t="s">
        <v>60</v>
      </c>
      <c r="E185" s="6" t="s">
        <v>61</v>
      </c>
      <c r="F185" s="6" t="s">
        <v>21</v>
      </c>
      <c r="G185" s="6" t="s">
        <v>22</v>
      </c>
      <c r="H185" s="6" t="s">
        <v>23</v>
      </c>
      <c r="I185" s="7" t="n">
        <v>8.99</v>
      </c>
      <c r="J185" s="7" t="n">
        <v>22</v>
      </c>
      <c r="K185" s="6" t="s">
        <v>27</v>
      </c>
      <c r="L185" s="6" t="n">
        <v>197</v>
      </c>
      <c r="M185" s="7" t="n">
        <f aca="false">L185*J185</f>
        <v>4334</v>
      </c>
      <c r="N185" s="7" t="n">
        <f aca="false">L185*I185</f>
        <v>1771.03</v>
      </c>
      <c r="O185" s="7" t="n">
        <f aca="false">M185-N185</f>
        <v>2562.97</v>
      </c>
      <c r="P185" s="8" t="n">
        <f aca="false">IFERROR(O185/M185,0)</f>
        <v>0.591363636363636</v>
      </c>
    </row>
    <row r="186" customFormat="false" ht="15" hidden="false" customHeight="true" outlineLevel="0" collapsed="false">
      <c r="A186" s="3" t="s">
        <v>57</v>
      </c>
      <c r="B186" s="3" t="s">
        <v>58</v>
      </c>
      <c r="C186" s="3" t="s">
        <v>59</v>
      </c>
      <c r="D186" s="3" t="s">
        <v>60</v>
      </c>
      <c r="E186" s="3" t="s">
        <v>61</v>
      </c>
      <c r="F186" s="3" t="s">
        <v>21</v>
      </c>
      <c r="G186" s="3" t="s">
        <v>22</v>
      </c>
      <c r="H186" s="3" t="s">
        <v>23</v>
      </c>
      <c r="I186" s="4" t="n">
        <v>8.99</v>
      </c>
      <c r="J186" s="4" t="n">
        <v>22</v>
      </c>
      <c r="K186" s="3" t="s">
        <v>28</v>
      </c>
      <c r="L186" s="3" t="n">
        <v>61</v>
      </c>
      <c r="M186" s="4" t="n">
        <f aca="false">L186*J186</f>
        <v>1342</v>
      </c>
      <c r="N186" s="4" t="n">
        <f aca="false">L186*I186</f>
        <v>548.39</v>
      </c>
      <c r="O186" s="4" t="n">
        <f aca="false">M186-N186</f>
        <v>793.61</v>
      </c>
      <c r="P186" s="5" t="n">
        <f aca="false">IFERROR(O186/M186,0)</f>
        <v>0.591363636363636</v>
      </c>
    </row>
    <row r="187" customFormat="false" ht="15" hidden="false" customHeight="true" outlineLevel="0" collapsed="false">
      <c r="A187" s="6" t="s">
        <v>57</v>
      </c>
      <c r="B187" s="6" t="s">
        <v>58</v>
      </c>
      <c r="C187" s="6" t="s">
        <v>59</v>
      </c>
      <c r="D187" s="6" t="s">
        <v>60</v>
      </c>
      <c r="E187" s="6" t="s">
        <v>61</v>
      </c>
      <c r="F187" s="6" t="s">
        <v>21</v>
      </c>
      <c r="G187" s="6" t="s">
        <v>22</v>
      </c>
      <c r="H187" s="6" t="s">
        <v>23</v>
      </c>
      <c r="I187" s="7" t="n">
        <v>8.99</v>
      </c>
      <c r="J187" s="7" t="n">
        <v>22</v>
      </c>
      <c r="K187" s="6" t="s">
        <v>29</v>
      </c>
      <c r="L187" s="6" t="n">
        <v>175</v>
      </c>
      <c r="M187" s="7" t="n">
        <f aca="false">L187*J187</f>
        <v>3850</v>
      </c>
      <c r="N187" s="7" t="n">
        <f aca="false">L187*I187</f>
        <v>1573.25</v>
      </c>
      <c r="O187" s="7" t="n">
        <f aca="false">M187-N187</f>
        <v>2276.75</v>
      </c>
      <c r="P187" s="8" t="n">
        <f aca="false">IFERROR(O187/M187,0)</f>
        <v>0.591363636363636</v>
      </c>
    </row>
    <row r="188" customFormat="false" ht="15" hidden="false" customHeight="true" outlineLevel="0" collapsed="false">
      <c r="A188" s="3" t="s">
        <v>57</v>
      </c>
      <c r="B188" s="3" t="s">
        <v>58</v>
      </c>
      <c r="C188" s="3" t="s">
        <v>59</v>
      </c>
      <c r="D188" s="3" t="s">
        <v>60</v>
      </c>
      <c r="E188" s="3" t="s">
        <v>61</v>
      </c>
      <c r="F188" s="3" t="s">
        <v>30</v>
      </c>
      <c r="G188" s="3" t="s">
        <v>31</v>
      </c>
      <c r="H188" s="3" t="s">
        <v>23</v>
      </c>
      <c r="I188" s="4" t="n">
        <v>8.5</v>
      </c>
      <c r="J188" s="4" t="n">
        <v>21</v>
      </c>
      <c r="K188" s="3" t="s">
        <v>24</v>
      </c>
      <c r="L188" s="3" t="n">
        <v>83</v>
      </c>
      <c r="M188" s="4" t="n">
        <f aca="false">L188*J188</f>
        <v>1743</v>
      </c>
      <c r="N188" s="4" t="n">
        <f aca="false">L188*I188</f>
        <v>705.5</v>
      </c>
      <c r="O188" s="4" t="n">
        <f aca="false">M188-N188</f>
        <v>1037.5</v>
      </c>
      <c r="P188" s="5" t="n">
        <f aca="false">IFERROR(O188/M188,0)</f>
        <v>0.595238095238095</v>
      </c>
    </row>
    <row r="189" customFormat="false" ht="15" hidden="false" customHeight="true" outlineLevel="0" collapsed="false">
      <c r="A189" s="6" t="s">
        <v>57</v>
      </c>
      <c r="B189" s="6" t="s">
        <v>58</v>
      </c>
      <c r="C189" s="6" t="s">
        <v>59</v>
      </c>
      <c r="D189" s="6" t="s">
        <v>60</v>
      </c>
      <c r="E189" s="6" t="s">
        <v>61</v>
      </c>
      <c r="F189" s="6" t="s">
        <v>30</v>
      </c>
      <c r="G189" s="6" t="s">
        <v>31</v>
      </c>
      <c r="H189" s="6" t="s">
        <v>23</v>
      </c>
      <c r="I189" s="7" t="n">
        <v>8.5</v>
      </c>
      <c r="J189" s="7" t="n">
        <v>21</v>
      </c>
      <c r="K189" s="6" t="s">
        <v>25</v>
      </c>
      <c r="L189" s="6" t="n">
        <v>235</v>
      </c>
      <c r="M189" s="7" t="n">
        <f aca="false">L189*J189</f>
        <v>4935</v>
      </c>
      <c r="N189" s="7" t="n">
        <f aca="false">L189*I189</f>
        <v>1997.5</v>
      </c>
      <c r="O189" s="7" t="n">
        <f aca="false">M189-N189</f>
        <v>2937.5</v>
      </c>
      <c r="P189" s="8" t="n">
        <f aca="false">IFERROR(O189/M189,0)</f>
        <v>0.595238095238095</v>
      </c>
    </row>
    <row r="190" customFormat="false" ht="15" hidden="false" customHeight="true" outlineLevel="0" collapsed="false">
      <c r="A190" s="3" t="s">
        <v>57</v>
      </c>
      <c r="B190" s="3" t="s">
        <v>58</v>
      </c>
      <c r="C190" s="3" t="s">
        <v>59</v>
      </c>
      <c r="D190" s="3" t="s">
        <v>60</v>
      </c>
      <c r="E190" s="3" t="s">
        <v>61</v>
      </c>
      <c r="F190" s="3" t="s">
        <v>30</v>
      </c>
      <c r="G190" s="3" t="s">
        <v>31</v>
      </c>
      <c r="H190" s="3" t="s">
        <v>23</v>
      </c>
      <c r="I190" s="4" t="n">
        <v>8.5</v>
      </c>
      <c r="J190" s="4" t="n">
        <v>21</v>
      </c>
      <c r="K190" s="3" t="s">
        <v>26</v>
      </c>
      <c r="L190" s="3" t="n">
        <v>116</v>
      </c>
      <c r="M190" s="4" t="n">
        <f aca="false">L190*J190</f>
        <v>2436</v>
      </c>
      <c r="N190" s="4" t="n">
        <f aca="false">L190*I190</f>
        <v>986</v>
      </c>
      <c r="O190" s="4" t="n">
        <f aca="false">M190-N190</f>
        <v>1450</v>
      </c>
      <c r="P190" s="5" t="n">
        <f aca="false">IFERROR(O190/M190,0)</f>
        <v>0.595238095238095</v>
      </c>
    </row>
    <row r="191" customFormat="false" ht="15" hidden="false" customHeight="true" outlineLevel="0" collapsed="false">
      <c r="A191" s="6" t="s">
        <v>57</v>
      </c>
      <c r="B191" s="6" t="s">
        <v>58</v>
      </c>
      <c r="C191" s="6" t="s">
        <v>59</v>
      </c>
      <c r="D191" s="6" t="s">
        <v>60</v>
      </c>
      <c r="E191" s="6" t="s">
        <v>61</v>
      </c>
      <c r="F191" s="6" t="s">
        <v>30</v>
      </c>
      <c r="G191" s="6" t="s">
        <v>31</v>
      </c>
      <c r="H191" s="6" t="s">
        <v>23</v>
      </c>
      <c r="I191" s="7" t="n">
        <v>8.5</v>
      </c>
      <c r="J191" s="7" t="n">
        <v>21</v>
      </c>
      <c r="K191" s="6" t="s">
        <v>27</v>
      </c>
      <c r="L191" s="6" t="n">
        <v>113</v>
      </c>
      <c r="M191" s="7" t="n">
        <f aca="false">L191*J191</f>
        <v>2373</v>
      </c>
      <c r="N191" s="7" t="n">
        <f aca="false">L191*I191</f>
        <v>960.5</v>
      </c>
      <c r="O191" s="7" t="n">
        <f aca="false">M191-N191</f>
        <v>1412.5</v>
      </c>
      <c r="P191" s="8" t="n">
        <f aca="false">IFERROR(O191/M191,0)</f>
        <v>0.595238095238095</v>
      </c>
    </row>
    <row r="192" customFormat="false" ht="15" hidden="false" customHeight="true" outlineLevel="0" collapsed="false">
      <c r="A192" s="3" t="s">
        <v>57</v>
      </c>
      <c r="B192" s="3" t="s">
        <v>58</v>
      </c>
      <c r="C192" s="3" t="s">
        <v>59</v>
      </c>
      <c r="D192" s="3" t="s">
        <v>60</v>
      </c>
      <c r="E192" s="3" t="s">
        <v>61</v>
      </c>
      <c r="F192" s="3" t="s">
        <v>30</v>
      </c>
      <c r="G192" s="3" t="s">
        <v>31</v>
      </c>
      <c r="H192" s="3" t="s">
        <v>23</v>
      </c>
      <c r="I192" s="4" t="n">
        <v>8.5</v>
      </c>
      <c r="J192" s="4" t="n">
        <v>21</v>
      </c>
      <c r="K192" s="3" t="s">
        <v>28</v>
      </c>
      <c r="L192" s="3" t="n">
        <v>279</v>
      </c>
      <c r="M192" s="4" t="n">
        <f aca="false">L192*J192</f>
        <v>5859</v>
      </c>
      <c r="N192" s="4" t="n">
        <f aca="false">L192*I192</f>
        <v>2371.5</v>
      </c>
      <c r="O192" s="4" t="n">
        <f aca="false">M192-N192</f>
        <v>3487.5</v>
      </c>
      <c r="P192" s="5" t="n">
        <f aca="false">IFERROR(O192/M192,0)</f>
        <v>0.595238095238095</v>
      </c>
    </row>
    <row r="193" customFormat="false" ht="15" hidden="false" customHeight="true" outlineLevel="0" collapsed="false">
      <c r="A193" s="6" t="s">
        <v>57</v>
      </c>
      <c r="B193" s="6" t="s">
        <v>58</v>
      </c>
      <c r="C193" s="6" t="s">
        <v>59</v>
      </c>
      <c r="D193" s="6" t="s">
        <v>60</v>
      </c>
      <c r="E193" s="6" t="s">
        <v>61</v>
      </c>
      <c r="F193" s="6" t="s">
        <v>30</v>
      </c>
      <c r="G193" s="6" t="s">
        <v>31</v>
      </c>
      <c r="H193" s="6" t="s">
        <v>23</v>
      </c>
      <c r="I193" s="7" t="n">
        <v>8.5</v>
      </c>
      <c r="J193" s="7" t="n">
        <v>21</v>
      </c>
      <c r="K193" s="6" t="s">
        <v>29</v>
      </c>
      <c r="L193" s="6" t="n">
        <v>157</v>
      </c>
      <c r="M193" s="7" t="n">
        <f aca="false">L193*J193</f>
        <v>3297</v>
      </c>
      <c r="N193" s="7" t="n">
        <f aca="false">L193*I193</f>
        <v>1334.5</v>
      </c>
      <c r="O193" s="7" t="n">
        <f aca="false">M193-N193</f>
        <v>1962.5</v>
      </c>
      <c r="P193" s="8" t="n">
        <f aca="false">IFERROR(O193/M193,0)</f>
        <v>0.595238095238095</v>
      </c>
    </row>
    <row r="194" customFormat="false" ht="15" hidden="false" customHeight="true" outlineLevel="0" collapsed="false">
      <c r="A194" s="3" t="s">
        <v>57</v>
      </c>
      <c r="B194" s="3" t="s">
        <v>58</v>
      </c>
      <c r="C194" s="3" t="s">
        <v>59</v>
      </c>
      <c r="D194" s="3" t="s">
        <v>60</v>
      </c>
      <c r="E194" s="3" t="s">
        <v>61</v>
      </c>
      <c r="F194" s="3" t="s">
        <v>32</v>
      </c>
      <c r="G194" s="3" t="s">
        <v>33</v>
      </c>
      <c r="H194" s="3" t="s">
        <v>23</v>
      </c>
      <c r="I194" s="4" t="n">
        <v>2.5</v>
      </c>
      <c r="J194" s="4" t="n">
        <v>4.5</v>
      </c>
      <c r="K194" s="3" t="s">
        <v>24</v>
      </c>
      <c r="L194" s="3" t="n">
        <v>237</v>
      </c>
      <c r="M194" s="4" t="n">
        <f aca="false">L194*J194</f>
        <v>1066.5</v>
      </c>
      <c r="N194" s="4" t="n">
        <f aca="false">L194*I194</f>
        <v>592.5</v>
      </c>
      <c r="O194" s="4" t="n">
        <f aca="false">M194-N194</f>
        <v>474</v>
      </c>
      <c r="P194" s="5" t="n">
        <f aca="false">IFERROR(O194/M194,0)</f>
        <v>0.444444444444444</v>
      </c>
    </row>
    <row r="195" customFormat="false" ht="15" hidden="false" customHeight="true" outlineLevel="0" collapsed="false">
      <c r="A195" s="6" t="s">
        <v>57</v>
      </c>
      <c r="B195" s="6" t="s">
        <v>58</v>
      </c>
      <c r="C195" s="6" t="s">
        <v>59</v>
      </c>
      <c r="D195" s="6" t="s">
        <v>60</v>
      </c>
      <c r="E195" s="6" t="s">
        <v>61</v>
      </c>
      <c r="F195" s="6" t="s">
        <v>32</v>
      </c>
      <c r="G195" s="6" t="s">
        <v>33</v>
      </c>
      <c r="H195" s="6" t="s">
        <v>23</v>
      </c>
      <c r="I195" s="7" t="n">
        <v>2.5</v>
      </c>
      <c r="J195" s="7" t="n">
        <v>4.5</v>
      </c>
      <c r="K195" s="6" t="s">
        <v>25</v>
      </c>
      <c r="L195" s="6" t="n">
        <v>152</v>
      </c>
      <c r="M195" s="7" t="n">
        <f aca="false">L195*J195</f>
        <v>684</v>
      </c>
      <c r="N195" s="7" t="n">
        <f aca="false">L195*I195</f>
        <v>380</v>
      </c>
      <c r="O195" s="7" t="n">
        <f aca="false">M195-N195</f>
        <v>304</v>
      </c>
      <c r="P195" s="8" t="n">
        <f aca="false">IFERROR(O195/M195,0)</f>
        <v>0.444444444444444</v>
      </c>
    </row>
    <row r="196" customFormat="false" ht="15" hidden="false" customHeight="true" outlineLevel="0" collapsed="false">
      <c r="A196" s="3" t="s">
        <v>57</v>
      </c>
      <c r="B196" s="3" t="s">
        <v>58</v>
      </c>
      <c r="C196" s="3" t="s">
        <v>59</v>
      </c>
      <c r="D196" s="3" t="s">
        <v>60</v>
      </c>
      <c r="E196" s="3" t="s">
        <v>61</v>
      </c>
      <c r="F196" s="3" t="s">
        <v>32</v>
      </c>
      <c r="G196" s="3" t="s">
        <v>33</v>
      </c>
      <c r="H196" s="3" t="s">
        <v>23</v>
      </c>
      <c r="I196" s="4" t="n">
        <v>2.5</v>
      </c>
      <c r="J196" s="4" t="n">
        <v>4.5</v>
      </c>
      <c r="K196" s="3" t="s">
        <v>26</v>
      </c>
      <c r="L196" s="3" t="n">
        <v>95</v>
      </c>
      <c r="M196" s="4" t="n">
        <f aca="false">L196*J196</f>
        <v>427.5</v>
      </c>
      <c r="N196" s="4" t="n">
        <f aca="false">L196*I196</f>
        <v>237.5</v>
      </c>
      <c r="O196" s="4" t="n">
        <f aca="false">M196-N196</f>
        <v>190</v>
      </c>
      <c r="P196" s="5" t="n">
        <f aca="false">IFERROR(O196/M196,0)</f>
        <v>0.444444444444444</v>
      </c>
    </row>
    <row r="197" customFormat="false" ht="15" hidden="false" customHeight="true" outlineLevel="0" collapsed="false">
      <c r="A197" s="6" t="s">
        <v>57</v>
      </c>
      <c r="B197" s="6" t="s">
        <v>58</v>
      </c>
      <c r="C197" s="6" t="s">
        <v>59</v>
      </c>
      <c r="D197" s="6" t="s">
        <v>60</v>
      </c>
      <c r="E197" s="6" t="s">
        <v>61</v>
      </c>
      <c r="F197" s="6" t="s">
        <v>32</v>
      </c>
      <c r="G197" s="6" t="s">
        <v>33</v>
      </c>
      <c r="H197" s="6" t="s">
        <v>23</v>
      </c>
      <c r="I197" s="7" t="n">
        <v>2.5</v>
      </c>
      <c r="J197" s="7" t="n">
        <v>4.5</v>
      </c>
      <c r="K197" s="6" t="s">
        <v>27</v>
      </c>
      <c r="L197" s="6" t="n">
        <v>56</v>
      </c>
      <c r="M197" s="7" t="n">
        <f aca="false">L197*J197</f>
        <v>252</v>
      </c>
      <c r="N197" s="7" t="n">
        <f aca="false">L197*I197</f>
        <v>140</v>
      </c>
      <c r="O197" s="7" t="n">
        <f aca="false">M197-N197</f>
        <v>112</v>
      </c>
      <c r="P197" s="8" t="n">
        <f aca="false">IFERROR(O197/M197,0)</f>
        <v>0.444444444444444</v>
      </c>
    </row>
    <row r="198" customFormat="false" ht="15" hidden="false" customHeight="true" outlineLevel="0" collapsed="false">
      <c r="A198" s="3" t="s">
        <v>57</v>
      </c>
      <c r="B198" s="3" t="s">
        <v>58</v>
      </c>
      <c r="C198" s="3" t="s">
        <v>59</v>
      </c>
      <c r="D198" s="3" t="s">
        <v>60</v>
      </c>
      <c r="E198" s="3" t="s">
        <v>61</v>
      </c>
      <c r="F198" s="3" t="s">
        <v>32</v>
      </c>
      <c r="G198" s="3" t="s">
        <v>33</v>
      </c>
      <c r="H198" s="3" t="s">
        <v>23</v>
      </c>
      <c r="I198" s="4" t="n">
        <v>2.5</v>
      </c>
      <c r="J198" s="4" t="n">
        <v>4.5</v>
      </c>
      <c r="K198" s="3" t="s">
        <v>28</v>
      </c>
      <c r="L198" s="3" t="n">
        <v>167</v>
      </c>
      <c r="M198" s="4" t="n">
        <f aca="false">L198*J198</f>
        <v>751.5</v>
      </c>
      <c r="N198" s="4" t="n">
        <f aca="false">L198*I198</f>
        <v>417.5</v>
      </c>
      <c r="O198" s="4" t="n">
        <f aca="false">M198-N198</f>
        <v>334</v>
      </c>
      <c r="P198" s="5" t="n">
        <f aca="false">IFERROR(O198/M198,0)</f>
        <v>0.444444444444444</v>
      </c>
    </row>
    <row r="199" customFormat="false" ht="15" hidden="false" customHeight="true" outlineLevel="0" collapsed="false">
      <c r="A199" s="6" t="s">
        <v>57</v>
      </c>
      <c r="B199" s="6" t="s">
        <v>58</v>
      </c>
      <c r="C199" s="6" t="s">
        <v>59</v>
      </c>
      <c r="D199" s="6" t="s">
        <v>60</v>
      </c>
      <c r="E199" s="6" t="s">
        <v>61</v>
      </c>
      <c r="F199" s="6" t="s">
        <v>32</v>
      </c>
      <c r="G199" s="6" t="s">
        <v>33</v>
      </c>
      <c r="H199" s="6" t="s">
        <v>23</v>
      </c>
      <c r="I199" s="7" t="n">
        <v>2.5</v>
      </c>
      <c r="J199" s="7" t="n">
        <v>4.5</v>
      </c>
      <c r="K199" s="6" t="s">
        <v>29</v>
      </c>
      <c r="L199" s="6" t="n">
        <v>345</v>
      </c>
      <c r="M199" s="7" t="n">
        <f aca="false">L199*J199</f>
        <v>1552.5</v>
      </c>
      <c r="N199" s="7" t="n">
        <f aca="false">L199*I199</f>
        <v>862.5</v>
      </c>
      <c r="O199" s="7" t="n">
        <f aca="false">M199-N199</f>
        <v>690</v>
      </c>
      <c r="P199" s="8" t="n">
        <f aca="false">IFERROR(O199/M199,0)</f>
        <v>0.444444444444444</v>
      </c>
    </row>
    <row r="200" customFormat="false" ht="15" hidden="false" customHeight="true" outlineLevel="0" collapsed="false">
      <c r="A200" s="3" t="s">
        <v>57</v>
      </c>
      <c r="B200" s="3" t="s">
        <v>58</v>
      </c>
      <c r="C200" s="3" t="s">
        <v>59</v>
      </c>
      <c r="D200" s="3" t="s">
        <v>60</v>
      </c>
      <c r="E200" s="3" t="s">
        <v>61</v>
      </c>
      <c r="F200" s="3" t="s">
        <v>34</v>
      </c>
      <c r="G200" s="3" t="s">
        <v>35</v>
      </c>
      <c r="H200" s="3" t="s">
        <v>23</v>
      </c>
      <c r="I200" s="4" t="n">
        <v>6</v>
      </c>
      <c r="J200" s="4" t="n">
        <v>12.5</v>
      </c>
      <c r="K200" s="3" t="s">
        <v>24</v>
      </c>
      <c r="L200" s="3" t="n">
        <v>183</v>
      </c>
      <c r="M200" s="4" t="n">
        <f aca="false">L200*J200</f>
        <v>2287.5</v>
      </c>
      <c r="N200" s="4" t="n">
        <f aca="false">L200*I200</f>
        <v>1098</v>
      </c>
      <c r="O200" s="4" t="n">
        <f aca="false">M200-N200</f>
        <v>1189.5</v>
      </c>
      <c r="P200" s="5" t="n">
        <f aca="false">IFERROR(O200/M200,0)</f>
        <v>0.52</v>
      </c>
    </row>
    <row r="201" customFormat="false" ht="15" hidden="false" customHeight="true" outlineLevel="0" collapsed="false">
      <c r="A201" s="6" t="s">
        <v>57</v>
      </c>
      <c r="B201" s="6" t="s">
        <v>58</v>
      </c>
      <c r="C201" s="6" t="s">
        <v>59</v>
      </c>
      <c r="D201" s="6" t="s">
        <v>60</v>
      </c>
      <c r="E201" s="6" t="s">
        <v>61</v>
      </c>
      <c r="F201" s="6" t="s">
        <v>34</v>
      </c>
      <c r="G201" s="6" t="s">
        <v>35</v>
      </c>
      <c r="H201" s="6" t="s">
        <v>23</v>
      </c>
      <c r="I201" s="7" t="n">
        <v>6</v>
      </c>
      <c r="J201" s="7" t="n">
        <v>12.5</v>
      </c>
      <c r="K201" s="6" t="s">
        <v>25</v>
      </c>
      <c r="L201" s="6" t="n">
        <v>126</v>
      </c>
      <c r="M201" s="7" t="n">
        <f aca="false">L201*J201</f>
        <v>1575</v>
      </c>
      <c r="N201" s="7" t="n">
        <f aca="false">L201*I201</f>
        <v>756</v>
      </c>
      <c r="O201" s="7" t="n">
        <f aca="false">M201-N201</f>
        <v>819</v>
      </c>
      <c r="P201" s="8" t="n">
        <f aca="false">IFERROR(O201/M201,0)</f>
        <v>0.52</v>
      </c>
    </row>
    <row r="202" customFormat="false" ht="15" hidden="false" customHeight="true" outlineLevel="0" collapsed="false">
      <c r="A202" s="3" t="s">
        <v>57</v>
      </c>
      <c r="B202" s="3" t="s">
        <v>58</v>
      </c>
      <c r="C202" s="3" t="s">
        <v>59</v>
      </c>
      <c r="D202" s="3" t="s">
        <v>60</v>
      </c>
      <c r="E202" s="3" t="s">
        <v>61</v>
      </c>
      <c r="F202" s="3" t="s">
        <v>34</v>
      </c>
      <c r="G202" s="3" t="s">
        <v>35</v>
      </c>
      <c r="H202" s="3" t="s">
        <v>23</v>
      </c>
      <c r="I202" s="4" t="n">
        <v>6</v>
      </c>
      <c r="J202" s="4" t="n">
        <v>12.5</v>
      </c>
      <c r="K202" s="3" t="s">
        <v>26</v>
      </c>
      <c r="L202" s="3" t="n">
        <v>142</v>
      </c>
      <c r="M202" s="4" t="n">
        <f aca="false">L202*J202</f>
        <v>1775</v>
      </c>
      <c r="N202" s="4" t="n">
        <f aca="false">L202*I202</f>
        <v>852</v>
      </c>
      <c r="O202" s="4" t="n">
        <f aca="false">M202-N202</f>
        <v>923</v>
      </c>
      <c r="P202" s="5" t="n">
        <f aca="false">IFERROR(O202/M202,0)</f>
        <v>0.52</v>
      </c>
    </row>
    <row r="203" customFormat="false" ht="15" hidden="false" customHeight="true" outlineLevel="0" collapsed="false">
      <c r="A203" s="6" t="s">
        <v>57</v>
      </c>
      <c r="B203" s="6" t="s">
        <v>58</v>
      </c>
      <c r="C203" s="6" t="s">
        <v>59</v>
      </c>
      <c r="D203" s="6" t="s">
        <v>60</v>
      </c>
      <c r="E203" s="6" t="s">
        <v>61</v>
      </c>
      <c r="F203" s="6" t="s">
        <v>34</v>
      </c>
      <c r="G203" s="6" t="s">
        <v>35</v>
      </c>
      <c r="H203" s="6" t="s">
        <v>23</v>
      </c>
      <c r="I203" s="7" t="n">
        <v>6</v>
      </c>
      <c r="J203" s="7" t="n">
        <v>12.5</v>
      </c>
      <c r="K203" s="6" t="s">
        <v>27</v>
      </c>
      <c r="L203" s="6" t="n">
        <v>205</v>
      </c>
      <c r="M203" s="7" t="n">
        <f aca="false">L203*J203</f>
        <v>2562.5</v>
      </c>
      <c r="N203" s="7" t="n">
        <f aca="false">L203*I203</f>
        <v>1230</v>
      </c>
      <c r="O203" s="7" t="n">
        <f aca="false">M203-N203</f>
        <v>1332.5</v>
      </c>
      <c r="P203" s="8" t="n">
        <f aca="false">IFERROR(O203/M203,0)</f>
        <v>0.52</v>
      </c>
    </row>
    <row r="204" customFormat="false" ht="15" hidden="false" customHeight="true" outlineLevel="0" collapsed="false">
      <c r="A204" s="3" t="s">
        <v>57</v>
      </c>
      <c r="B204" s="3" t="s">
        <v>58</v>
      </c>
      <c r="C204" s="3" t="s">
        <v>59</v>
      </c>
      <c r="D204" s="3" t="s">
        <v>60</v>
      </c>
      <c r="E204" s="3" t="s">
        <v>61</v>
      </c>
      <c r="F204" s="3" t="s">
        <v>34</v>
      </c>
      <c r="G204" s="3" t="s">
        <v>35</v>
      </c>
      <c r="H204" s="3" t="s">
        <v>23</v>
      </c>
      <c r="I204" s="4" t="n">
        <v>6</v>
      </c>
      <c r="J204" s="4" t="n">
        <v>12.5</v>
      </c>
      <c r="K204" s="3" t="s">
        <v>28</v>
      </c>
      <c r="L204" s="3" t="n">
        <v>76</v>
      </c>
      <c r="M204" s="4" t="n">
        <f aca="false">L204*J204</f>
        <v>950</v>
      </c>
      <c r="N204" s="4" t="n">
        <f aca="false">L204*I204</f>
        <v>456</v>
      </c>
      <c r="O204" s="4" t="n">
        <f aca="false">M204-N204</f>
        <v>494</v>
      </c>
      <c r="P204" s="5" t="n">
        <f aca="false">IFERROR(O204/M204,0)</f>
        <v>0.52</v>
      </c>
    </row>
    <row r="205" customFormat="false" ht="15" hidden="false" customHeight="true" outlineLevel="0" collapsed="false">
      <c r="A205" s="6" t="s">
        <v>57</v>
      </c>
      <c r="B205" s="6" t="s">
        <v>58</v>
      </c>
      <c r="C205" s="6" t="s">
        <v>59</v>
      </c>
      <c r="D205" s="6" t="s">
        <v>60</v>
      </c>
      <c r="E205" s="6" t="s">
        <v>61</v>
      </c>
      <c r="F205" s="6" t="s">
        <v>34</v>
      </c>
      <c r="G205" s="6" t="s">
        <v>35</v>
      </c>
      <c r="H205" s="6" t="s">
        <v>23</v>
      </c>
      <c r="I205" s="7" t="n">
        <v>6</v>
      </c>
      <c r="J205" s="7" t="n">
        <v>12.5</v>
      </c>
      <c r="K205" s="6" t="s">
        <v>29</v>
      </c>
      <c r="L205" s="6" t="n">
        <v>281</v>
      </c>
      <c r="M205" s="7" t="n">
        <f aca="false">L205*J205</f>
        <v>3512.5</v>
      </c>
      <c r="N205" s="7" t="n">
        <f aca="false">L205*I205</f>
        <v>1686</v>
      </c>
      <c r="O205" s="7" t="n">
        <f aca="false">M205-N205</f>
        <v>1826.5</v>
      </c>
      <c r="P205" s="8" t="n">
        <f aca="false">IFERROR(O205/M205,0)</f>
        <v>0.52</v>
      </c>
    </row>
    <row r="206" customFormat="false" ht="15" hidden="false" customHeight="true" outlineLevel="0" collapsed="false">
      <c r="A206" s="3" t="s">
        <v>57</v>
      </c>
      <c r="B206" s="3" t="s">
        <v>58</v>
      </c>
      <c r="C206" s="3" t="s">
        <v>59</v>
      </c>
      <c r="D206" s="3" t="s">
        <v>60</v>
      </c>
      <c r="E206" s="3" t="s">
        <v>61</v>
      </c>
      <c r="F206" s="3" t="s">
        <v>36</v>
      </c>
      <c r="G206" s="3" t="s">
        <v>37</v>
      </c>
      <c r="H206" s="3" t="s">
        <v>23</v>
      </c>
      <c r="I206" s="4" t="n">
        <v>4.5</v>
      </c>
      <c r="J206" s="4" t="n">
        <v>7</v>
      </c>
      <c r="K206" s="3" t="s">
        <v>24</v>
      </c>
      <c r="L206" s="3" t="n">
        <v>292</v>
      </c>
      <c r="M206" s="4" t="n">
        <f aca="false">L206*J206</f>
        <v>2044</v>
      </c>
      <c r="N206" s="4" t="n">
        <f aca="false">L206*I206</f>
        <v>1314</v>
      </c>
      <c r="O206" s="4" t="n">
        <f aca="false">M206-N206</f>
        <v>730</v>
      </c>
      <c r="P206" s="5" t="n">
        <f aca="false">IFERROR(O206/M206,0)</f>
        <v>0.357142857142857</v>
      </c>
    </row>
    <row r="207" customFormat="false" ht="15" hidden="false" customHeight="true" outlineLevel="0" collapsed="false">
      <c r="A207" s="6" t="s">
        <v>57</v>
      </c>
      <c r="B207" s="6" t="s">
        <v>58</v>
      </c>
      <c r="C207" s="6" t="s">
        <v>59</v>
      </c>
      <c r="D207" s="6" t="s">
        <v>60</v>
      </c>
      <c r="E207" s="6" t="s">
        <v>61</v>
      </c>
      <c r="F207" s="6" t="s">
        <v>36</v>
      </c>
      <c r="G207" s="6" t="s">
        <v>37</v>
      </c>
      <c r="H207" s="6" t="s">
        <v>23</v>
      </c>
      <c r="I207" s="7" t="n">
        <v>4.5</v>
      </c>
      <c r="J207" s="7" t="n">
        <v>7</v>
      </c>
      <c r="K207" s="6" t="s">
        <v>25</v>
      </c>
      <c r="L207" s="6" t="n">
        <v>179</v>
      </c>
      <c r="M207" s="7" t="n">
        <f aca="false">L207*J207</f>
        <v>1253</v>
      </c>
      <c r="N207" s="7" t="n">
        <f aca="false">L207*I207</f>
        <v>805.5</v>
      </c>
      <c r="O207" s="7" t="n">
        <f aca="false">M207-N207</f>
        <v>447.5</v>
      </c>
      <c r="P207" s="8" t="n">
        <f aca="false">IFERROR(O207/M207,0)</f>
        <v>0.357142857142857</v>
      </c>
    </row>
    <row r="208" customFormat="false" ht="15" hidden="false" customHeight="true" outlineLevel="0" collapsed="false">
      <c r="A208" s="3" t="s">
        <v>57</v>
      </c>
      <c r="B208" s="3" t="s">
        <v>58</v>
      </c>
      <c r="C208" s="3" t="s">
        <v>59</v>
      </c>
      <c r="D208" s="3" t="s">
        <v>60</v>
      </c>
      <c r="E208" s="3" t="s">
        <v>61</v>
      </c>
      <c r="F208" s="3" t="s">
        <v>36</v>
      </c>
      <c r="G208" s="3" t="s">
        <v>37</v>
      </c>
      <c r="H208" s="3" t="s">
        <v>23</v>
      </c>
      <c r="I208" s="4" t="n">
        <v>4.5</v>
      </c>
      <c r="J208" s="4" t="n">
        <v>7</v>
      </c>
      <c r="K208" s="3" t="s">
        <v>26</v>
      </c>
      <c r="L208" s="3" t="n">
        <v>95</v>
      </c>
      <c r="M208" s="4" t="n">
        <f aca="false">L208*J208</f>
        <v>665</v>
      </c>
      <c r="N208" s="4" t="n">
        <f aca="false">L208*I208</f>
        <v>427.5</v>
      </c>
      <c r="O208" s="4" t="n">
        <f aca="false">M208-N208</f>
        <v>237.5</v>
      </c>
      <c r="P208" s="5" t="n">
        <f aca="false">IFERROR(O208/M208,0)</f>
        <v>0.357142857142857</v>
      </c>
    </row>
    <row r="209" customFormat="false" ht="15" hidden="false" customHeight="true" outlineLevel="0" collapsed="false">
      <c r="A209" s="6" t="s">
        <v>57</v>
      </c>
      <c r="B209" s="6" t="s">
        <v>58</v>
      </c>
      <c r="C209" s="6" t="s">
        <v>59</v>
      </c>
      <c r="D209" s="6" t="s">
        <v>60</v>
      </c>
      <c r="E209" s="6" t="s">
        <v>61</v>
      </c>
      <c r="F209" s="6" t="s">
        <v>36</v>
      </c>
      <c r="G209" s="6" t="s">
        <v>37</v>
      </c>
      <c r="H209" s="6" t="s">
        <v>23</v>
      </c>
      <c r="I209" s="7" t="n">
        <v>4.5</v>
      </c>
      <c r="J209" s="7" t="n">
        <v>7</v>
      </c>
      <c r="K209" s="6" t="s">
        <v>27</v>
      </c>
      <c r="L209" s="6" t="n">
        <v>135</v>
      </c>
      <c r="M209" s="7" t="n">
        <f aca="false">L209*J209</f>
        <v>945</v>
      </c>
      <c r="N209" s="7" t="n">
        <f aca="false">L209*I209</f>
        <v>607.5</v>
      </c>
      <c r="O209" s="7" t="n">
        <f aca="false">M209-N209</f>
        <v>337.5</v>
      </c>
      <c r="P209" s="8" t="n">
        <f aca="false">IFERROR(O209/M209,0)</f>
        <v>0.357142857142857</v>
      </c>
    </row>
    <row r="210" customFormat="false" ht="15" hidden="false" customHeight="true" outlineLevel="0" collapsed="false">
      <c r="A210" s="3" t="s">
        <v>57</v>
      </c>
      <c r="B210" s="3" t="s">
        <v>58</v>
      </c>
      <c r="C210" s="3" t="s">
        <v>59</v>
      </c>
      <c r="D210" s="3" t="s">
        <v>60</v>
      </c>
      <c r="E210" s="3" t="s">
        <v>61</v>
      </c>
      <c r="F210" s="3" t="s">
        <v>36</v>
      </c>
      <c r="G210" s="3" t="s">
        <v>37</v>
      </c>
      <c r="H210" s="3" t="s">
        <v>23</v>
      </c>
      <c r="I210" s="4" t="n">
        <v>4.5</v>
      </c>
      <c r="J210" s="4" t="n">
        <v>7</v>
      </c>
      <c r="K210" s="3" t="s">
        <v>28</v>
      </c>
      <c r="L210" s="3" t="n">
        <v>189</v>
      </c>
      <c r="M210" s="4" t="n">
        <f aca="false">L210*J210</f>
        <v>1323</v>
      </c>
      <c r="N210" s="4" t="n">
        <f aca="false">L210*I210</f>
        <v>850.5</v>
      </c>
      <c r="O210" s="4" t="n">
        <f aca="false">M210-N210</f>
        <v>472.5</v>
      </c>
      <c r="P210" s="5" t="n">
        <f aca="false">IFERROR(O210/M210,0)</f>
        <v>0.357142857142857</v>
      </c>
    </row>
    <row r="211" customFormat="false" ht="15" hidden="false" customHeight="true" outlineLevel="0" collapsed="false">
      <c r="A211" s="6" t="s">
        <v>57</v>
      </c>
      <c r="B211" s="6" t="s">
        <v>58</v>
      </c>
      <c r="C211" s="6" t="s">
        <v>59</v>
      </c>
      <c r="D211" s="6" t="s">
        <v>60</v>
      </c>
      <c r="E211" s="6" t="s">
        <v>61</v>
      </c>
      <c r="F211" s="6" t="s">
        <v>36</v>
      </c>
      <c r="G211" s="6" t="s">
        <v>37</v>
      </c>
      <c r="H211" s="6" t="s">
        <v>23</v>
      </c>
      <c r="I211" s="7" t="n">
        <v>4.5</v>
      </c>
      <c r="J211" s="7" t="n">
        <v>7</v>
      </c>
      <c r="K211" s="6" t="s">
        <v>29</v>
      </c>
      <c r="L211" s="6" t="n">
        <v>119</v>
      </c>
      <c r="M211" s="7" t="n">
        <f aca="false">L211*J211</f>
        <v>833</v>
      </c>
      <c r="N211" s="7" t="n">
        <f aca="false">L211*I211</f>
        <v>535.5</v>
      </c>
      <c r="O211" s="7" t="n">
        <f aca="false">M211-N211</f>
        <v>297.5</v>
      </c>
      <c r="P211" s="8" t="n">
        <f aca="false">IFERROR(O211/M211,0)</f>
        <v>0.357142857142857</v>
      </c>
    </row>
    <row r="212" customFormat="false" ht="15" hidden="false" customHeight="true" outlineLevel="0" collapsed="false">
      <c r="A212" s="3" t="s">
        <v>57</v>
      </c>
      <c r="B212" s="3" t="s">
        <v>58</v>
      </c>
      <c r="C212" s="3" t="s">
        <v>59</v>
      </c>
      <c r="D212" s="3" t="s">
        <v>60</v>
      </c>
      <c r="E212" s="3" t="s">
        <v>61</v>
      </c>
      <c r="F212" s="3" t="s">
        <v>38</v>
      </c>
      <c r="G212" s="3" t="s">
        <v>39</v>
      </c>
      <c r="H212" s="3" t="s">
        <v>23</v>
      </c>
      <c r="I212" s="4" t="n">
        <v>9.9</v>
      </c>
      <c r="J212" s="4" t="n">
        <v>18</v>
      </c>
      <c r="K212" s="3" t="s">
        <v>24</v>
      </c>
      <c r="L212" s="3" t="n">
        <v>253</v>
      </c>
      <c r="M212" s="4" t="n">
        <f aca="false">L212*J212</f>
        <v>4554</v>
      </c>
      <c r="N212" s="4" t="n">
        <f aca="false">L212*I212</f>
        <v>2504.7</v>
      </c>
      <c r="O212" s="4" t="n">
        <f aca="false">M212-N212</f>
        <v>2049.3</v>
      </c>
      <c r="P212" s="5" t="n">
        <f aca="false">IFERROR(O212/M212,0)</f>
        <v>0.45</v>
      </c>
    </row>
    <row r="213" customFormat="false" ht="15" hidden="false" customHeight="true" outlineLevel="0" collapsed="false">
      <c r="A213" s="6" t="s">
        <v>57</v>
      </c>
      <c r="B213" s="6" t="s">
        <v>58</v>
      </c>
      <c r="C213" s="6" t="s">
        <v>59</v>
      </c>
      <c r="D213" s="6" t="s">
        <v>60</v>
      </c>
      <c r="E213" s="6" t="s">
        <v>61</v>
      </c>
      <c r="F213" s="6" t="s">
        <v>38</v>
      </c>
      <c r="G213" s="6" t="s">
        <v>39</v>
      </c>
      <c r="H213" s="6" t="s">
        <v>23</v>
      </c>
      <c r="I213" s="7" t="n">
        <v>9.9</v>
      </c>
      <c r="J213" s="7" t="n">
        <v>18</v>
      </c>
      <c r="K213" s="6" t="s">
        <v>25</v>
      </c>
      <c r="L213" s="6" t="n">
        <v>183</v>
      </c>
      <c r="M213" s="7" t="n">
        <f aca="false">L213*J213</f>
        <v>3294</v>
      </c>
      <c r="N213" s="7" t="n">
        <f aca="false">L213*I213</f>
        <v>1811.7</v>
      </c>
      <c r="O213" s="7" t="n">
        <f aca="false">M213-N213</f>
        <v>1482.3</v>
      </c>
      <c r="P213" s="8" t="n">
        <f aca="false">IFERROR(O213/M213,0)</f>
        <v>0.45</v>
      </c>
    </row>
    <row r="214" customFormat="false" ht="15" hidden="false" customHeight="true" outlineLevel="0" collapsed="false">
      <c r="A214" s="3" t="s">
        <v>57</v>
      </c>
      <c r="B214" s="3" t="s">
        <v>58</v>
      </c>
      <c r="C214" s="3" t="s">
        <v>59</v>
      </c>
      <c r="D214" s="3" t="s">
        <v>60</v>
      </c>
      <c r="E214" s="3" t="s">
        <v>61</v>
      </c>
      <c r="F214" s="3" t="s">
        <v>38</v>
      </c>
      <c r="G214" s="3" t="s">
        <v>39</v>
      </c>
      <c r="H214" s="3" t="s">
        <v>23</v>
      </c>
      <c r="I214" s="4" t="n">
        <v>9.9</v>
      </c>
      <c r="J214" s="4" t="n">
        <v>18</v>
      </c>
      <c r="K214" s="3" t="s">
        <v>26</v>
      </c>
      <c r="L214" s="3" t="n">
        <v>313</v>
      </c>
      <c r="M214" s="4" t="n">
        <f aca="false">L214*J214</f>
        <v>5634</v>
      </c>
      <c r="N214" s="4" t="n">
        <f aca="false">L214*I214</f>
        <v>3098.7</v>
      </c>
      <c r="O214" s="4" t="n">
        <f aca="false">M214-N214</f>
        <v>2535.3</v>
      </c>
      <c r="P214" s="5" t="n">
        <f aca="false">IFERROR(O214/M214,0)</f>
        <v>0.45</v>
      </c>
    </row>
    <row r="215" customFormat="false" ht="15" hidden="false" customHeight="true" outlineLevel="0" collapsed="false">
      <c r="A215" s="6" t="s">
        <v>57</v>
      </c>
      <c r="B215" s="6" t="s">
        <v>58</v>
      </c>
      <c r="C215" s="6" t="s">
        <v>59</v>
      </c>
      <c r="D215" s="6" t="s">
        <v>60</v>
      </c>
      <c r="E215" s="6" t="s">
        <v>61</v>
      </c>
      <c r="F215" s="6" t="s">
        <v>38</v>
      </c>
      <c r="G215" s="6" t="s">
        <v>39</v>
      </c>
      <c r="H215" s="6" t="s">
        <v>23</v>
      </c>
      <c r="I215" s="7" t="n">
        <v>9.9</v>
      </c>
      <c r="J215" s="7" t="n">
        <v>18</v>
      </c>
      <c r="K215" s="6" t="s">
        <v>27</v>
      </c>
      <c r="L215" s="6" t="n">
        <v>246</v>
      </c>
      <c r="M215" s="7" t="n">
        <f aca="false">L215*J215</f>
        <v>4428</v>
      </c>
      <c r="N215" s="7" t="n">
        <f aca="false">L215*I215</f>
        <v>2435.4</v>
      </c>
      <c r="O215" s="7" t="n">
        <f aca="false">M215-N215</f>
        <v>1992.6</v>
      </c>
      <c r="P215" s="8" t="n">
        <f aca="false">IFERROR(O215/M215,0)</f>
        <v>0.45</v>
      </c>
    </row>
    <row r="216" customFormat="false" ht="15" hidden="false" customHeight="true" outlineLevel="0" collapsed="false">
      <c r="A216" s="3" t="s">
        <v>57</v>
      </c>
      <c r="B216" s="3" t="s">
        <v>58</v>
      </c>
      <c r="C216" s="3" t="s">
        <v>59</v>
      </c>
      <c r="D216" s="3" t="s">
        <v>60</v>
      </c>
      <c r="E216" s="3" t="s">
        <v>61</v>
      </c>
      <c r="F216" s="3" t="s">
        <v>38</v>
      </c>
      <c r="G216" s="3" t="s">
        <v>39</v>
      </c>
      <c r="H216" s="3" t="s">
        <v>23</v>
      </c>
      <c r="I216" s="4" t="n">
        <v>9.9</v>
      </c>
      <c r="J216" s="4" t="n">
        <v>18</v>
      </c>
      <c r="K216" s="3" t="s">
        <v>28</v>
      </c>
      <c r="L216" s="3" t="n">
        <v>150</v>
      </c>
      <c r="M216" s="4" t="n">
        <f aca="false">L216*J216</f>
        <v>2700</v>
      </c>
      <c r="N216" s="4" t="n">
        <f aca="false">L216*I216</f>
        <v>1485</v>
      </c>
      <c r="O216" s="4" t="n">
        <f aca="false">M216-N216</f>
        <v>1215</v>
      </c>
      <c r="P216" s="5" t="n">
        <f aca="false">IFERROR(O216/M216,0)</f>
        <v>0.45</v>
      </c>
    </row>
    <row r="217" customFormat="false" ht="15" hidden="false" customHeight="true" outlineLevel="0" collapsed="false">
      <c r="A217" s="6" t="s">
        <v>57</v>
      </c>
      <c r="B217" s="6" t="s">
        <v>58</v>
      </c>
      <c r="C217" s="6" t="s">
        <v>59</v>
      </c>
      <c r="D217" s="6" t="s">
        <v>60</v>
      </c>
      <c r="E217" s="6" t="s">
        <v>61</v>
      </c>
      <c r="F217" s="6" t="s">
        <v>38</v>
      </c>
      <c r="G217" s="6" t="s">
        <v>39</v>
      </c>
      <c r="H217" s="6" t="s">
        <v>23</v>
      </c>
      <c r="I217" s="7" t="n">
        <v>9.9</v>
      </c>
      <c r="J217" s="7" t="n">
        <v>18</v>
      </c>
      <c r="K217" s="6" t="s">
        <v>29</v>
      </c>
      <c r="L217" s="6" t="n">
        <v>70</v>
      </c>
      <c r="M217" s="7" t="n">
        <f aca="false">L217*J217</f>
        <v>1260</v>
      </c>
      <c r="N217" s="7" t="n">
        <f aca="false">L217*I217</f>
        <v>693</v>
      </c>
      <c r="O217" s="7" t="n">
        <f aca="false">M217-N217</f>
        <v>567</v>
      </c>
      <c r="P217" s="8" t="n">
        <f aca="false">IFERROR(O217/M217,0)</f>
        <v>0.45</v>
      </c>
    </row>
    <row r="218" customFormat="false" ht="15" hidden="false" customHeight="true" outlineLevel="0" collapsed="false">
      <c r="A218" s="3" t="s">
        <v>57</v>
      </c>
      <c r="B218" s="3" t="s">
        <v>58</v>
      </c>
      <c r="C218" s="3" t="s">
        <v>59</v>
      </c>
      <c r="D218" s="3" t="s">
        <v>60</v>
      </c>
      <c r="E218" s="3" t="s">
        <v>61</v>
      </c>
      <c r="F218" s="3" t="s">
        <v>40</v>
      </c>
      <c r="G218" s="3" t="s">
        <v>41</v>
      </c>
      <c r="H218" s="3" t="s">
        <v>42</v>
      </c>
      <c r="I218" s="4" t="n">
        <v>3.5</v>
      </c>
      <c r="J218" s="4" t="n">
        <v>6.5</v>
      </c>
      <c r="K218" s="3" t="s">
        <v>24</v>
      </c>
      <c r="L218" s="3" t="n">
        <v>36</v>
      </c>
      <c r="M218" s="4" t="n">
        <f aca="false">L218*J218</f>
        <v>234</v>
      </c>
      <c r="N218" s="4" t="n">
        <f aca="false">L218*I218</f>
        <v>126</v>
      </c>
      <c r="O218" s="4" t="n">
        <f aca="false">M218-N218</f>
        <v>108</v>
      </c>
      <c r="P218" s="5" t="n">
        <f aca="false">IFERROR(O218/M218,0)</f>
        <v>0.461538461538462</v>
      </c>
    </row>
    <row r="219" customFormat="false" ht="15" hidden="false" customHeight="true" outlineLevel="0" collapsed="false">
      <c r="A219" s="6" t="s">
        <v>57</v>
      </c>
      <c r="B219" s="6" t="s">
        <v>58</v>
      </c>
      <c r="C219" s="6" t="s">
        <v>59</v>
      </c>
      <c r="D219" s="6" t="s">
        <v>60</v>
      </c>
      <c r="E219" s="6" t="s">
        <v>61</v>
      </c>
      <c r="F219" s="6" t="s">
        <v>40</v>
      </c>
      <c r="G219" s="6" t="s">
        <v>41</v>
      </c>
      <c r="H219" s="6" t="s">
        <v>42</v>
      </c>
      <c r="I219" s="7" t="n">
        <v>3.5</v>
      </c>
      <c r="J219" s="7" t="n">
        <v>6.5</v>
      </c>
      <c r="K219" s="6" t="s">
        <v>25</v>
      </c>
      <c r="L219" s="6" t="n">
        <v>124</v>
      </c>
      <c r="M219" s="7" t="n">
        <f aca="false">L219*J219</f>
        <v>806</v>
      </c>
      <c r="N219" s="7" t="n">
        <f aca="false">L219*I219</f>
        <v>434</v>
      </c>
      <c r="O219" s="7" t="n">
        <f aca="false">M219-N219</f>
        <v>372</v>
      </c>
      <c r="P219" s="8" t="n">
        <f aca="false">IFERROR(O219/M219,0)</f>
        <v>0.461538461538462</v>
      </c>
    </row>
    <row r="220" customFormat="false" ht="15" hidden="false" customHeight="true" outlineLevel="0" collapsed="false">
      <c r="A220" s="3" t="s">
        <v>57</v>
      </c>
      <c r="B220" s="3" t="s">
        <v>58</v>
      </c>
      <c r="C220" s="3" t="s">
        <v>59</v>
      </c>
      <c r="D220" s="3" t="s">
        <v>60</v>
      </c>
      <c r="E220" s="3" t="s">
        <v>61</v>
      </c>
      <c r="F220" s="3" t="s">
        <v>40</v>
      </c>
      <c r="G220" s="3" t="s">
        <v>41</v>
      </c>
      <c r="H220" s="3" t="s">
        <v>42</v>
      </c>
      <c r="I220" s="4" t="n">
        <v>3.5</v>
      </c>
      <c r="J220" s="4" t="n">
        <v>6.5</v>
      </c>
      <c r="K220" s="3" t="s">
        <v>26</v>
      </c>
      <c r="L220" s="3" t="n">
        <v>267</v>
      </c>
      <c r="M220" s="4" t="n">
        <f aca="false">L220*J220</f>
        <v>1735.5</v>
      </c>
      <c r="N220" s="4" t="n">
        <f aca="false">L220*I220</f>
        <v>934.5</v>
      </c>
      <c r="O220" s="4" t="n">
        <f aca="false">M220-N220</f>
        <v>801</v>
      </c>
      <c r="P220" s="5" t="n">
        <f aca="false">IFERROR(O220/M220,0)</f>
        <v>0.461538461538462</v>
      </c>
    </row>
    <row r="221" customFormat="false" ht="15" hidden="false" customHeight="true" outlineLevel="0" collapsed="false">
      <c r="A221" s="6" t="s">
        <v>57</v>
      </c>
      <c r="B221" s="6" t="s">
        <v>58</v>
      </c>
      <c r="C221" s="6" t="s">
        <v>59</v>
      </c>
      <c r="D221" s="6" t="s">
        <v>60</v>
      </c>
      <c r="E221" s="6" t="s">
        <v>61</v>
      </c>
      <c r="F221" s="6" t="s">
        <v>40</v>
      </c>
      <c r="G221" s="6" t="s">
        <v>41</v>
      </c>
      <c r="H221" s="6" t="s">
        <v>42</v>
      </c>
      <c r="I221" s="7" t="n">
        <v>3.5</v>
      </c>
      <c r="J221" s="7" t="n">
        <v>6.5</v>
      </c>
      <c r="K221" s="6" t="s">
        <v>27</v>
      </c>
      <c r="L221" s="6" t="n">
        <v>217</v>
      </c>
      <c r="M221" s="7" t="n">
        <f aca="false">L221*J221</f>
        <v>1410.5</v>
      </c>
      <c r="N221" s="7" t="n">
        <f aca="false">L221*I221</f>
        <v>759.5</v>
      </c>
      <c r="O221" s="7" t="n">
        <f aca="false">M221-N221</f>
        <v>651</v>
      </c>
      <c r="P221" s="8" t="n">
        <f aca="false">IFERROR(O221/M221,0)</f>
        <v>0.461538461538462</v>
      </c>
    </row>
    <row r="222" customFormat="false" ht="15" hidden="false" customHeight="true" outlineLevel="0" collapsed="false">
      <c r="A222" s="3" t="s">
        <v>57</v>
      </c>
      <c r="B222" s="3" t="s">
        <v>58</v>
      </c>
      <c r="C222" s="3" t="s">
        <v>59</v>
      </c>
      <c r="D222" s="3" t="s">
        <v>60</v>
      </c>
      <c r="E222" s="3" t="s">
        <v>61</v>
      </c>
      <c r="F222" s="3" t="s">
        <v>40</v>
      </c>
      <c r="G222" s="3" t="s">
        <v>41</v>
      </c>
      <c r="H222" s="3" t="s">
        <v>42</v>
      </c>
      <c r="I222" s="4" t="n">
        <v>3.5</v>
      </c>
      <c r="J222" s="4" t="n">
        <v>6.5</v>
      </c>
      <c r="K222" s="3" t="s">
        <v>28</v>
      </c>
      <c r="L222" s="3" t="n">
        <v>221</v>
      </c>
      <c r="M222" s="4" t="n">
        <f aca="false">L222*J222</f>
        <v>1436.5</v>
      </c>
      <c r="N222" s="4" t="n">
        <f aca="false">L222*I222</f>
        <v>773.5</v>
      </c>
      <c r="O222" s="4" t="n">
        <f aca="false">M222-N222</f>
        <v>663</v>
      </c>
      <c r="P222" s="5" t="n">
        <f aca="false">IFERROR(O222/M222,0)</f>
        <v>0.461538461538462</v>
      </c>
    </row>
    <row r="223" customFormat="false" ht="15" hidden="false" customHeight="true" outlineLevel="0" collapsed="false">
      <c r="A223" s="6" t="s">
        <v>57</v>
      </c>
      <c r="B223" s="6" t="s">
        <v>58</v>
      </c>
      <c r="C223" s="6" t="s">
        <v>59</v>
      </c>
      <c r="D223" s="6" t="s">
        <v>60</v>
      </c>
      <c r="E223" s="6" t="s">
        <v>61</v>
      </c>
      <c r="F223" s="6" t="s">
        <v>40</v>
      </c>
      <c r="G223" s="6" t="s">
        <v>41</v>
      </c>
      <c r="H223" s="6" t="s">
        <v>42</v>
      </c>
      <c r="I223" s="7" t="n">
        <v>3.5</v>
      </c>
      <c r="J223" s="7" t="n">
        <v>6.5</v>
      </c>
      <c r="K223" s="6" t="s">
        <v>29</v>
      </c>
      <c r="L223" s="6" t="n">
        <v>243</v>
      </c>
      <c r="M223" s="7" t="n">
        <f aca="false">L223*J223</f>
        <v>1579.5</v>
      </c>
      <c r="N223" s="7" t="n">
        <f aca="false">L223*I223</f>
        <v>850.5</v>
      </c>
      <c r="O223" s="7" t="n">
        <f aca="false">M223-N223</f>
        <v>729</v>
      </c>
      <c r="P223" s="8" t="n">
        <f aca="false">IFERROR(O223/M223,0)</f>
        <v>0.461538461538462</v>
      </c>
    </row>
    <row r="224" customFormat="false" ht="15" hidden="false" customHeight="true" outlineLevel="0" collapsed="false">
      <c r="A224" s="3" t="s">
        <v>57</v>
      </c>
      <c r="B224" s="3" t="s">
        <v>58</v>
      </c>
      <c r="C224" s="3" t="s">
        <v>59</v>
      </c>
      <c r="D224" s="3" t="s">
        <v>60</v>
      </c>
      <c r="E224" s="3" t="s">
        <v>61</v>
      </c>
      <c r="F224" s="3" t="s">
        <v>43</v>
      </c>
      <c r="G224" s="3" t="s">
        <v>44</v>
      </c>
      <c r="H224" s="3" t="s">
        <v>42</v>
      </c>
      <c r="I224" s="4" t="n">
        <v>2</v>
      </c>
      <c r="J224" s="4" t="n">
        <v>3.8</v>
      </c>
      <c r="K224" s="3" t="s">
        <v>24</v>
      </c>
      <c r="L224" s="3" t="n">
        <v>191</v>
      </c>
      <c r="M224" s="4" t="n">
        <f aca="false">L224*J224</f>
        <v>725.8</v>
      </c>
      <c r="N224" s="4" t="n">
        <f aca="false">L224*I224</f>
        <v>382</v>
      </c>
      <c r="O224" s="4" t="n">
        <f aca="false">M224-N224</f>
        <v>343.8</v>
      </c>
      <c r="P224" s="5" t="n">
        <f aca="false">IFERROR(O224/M224,0)</f>
        <v>0.473684210526316</v>
      </c>
    </row>
    <row r="225" customFormat="false" ht="15" hidden="false" customHeight="true" outlineLevel="0" collapsed="false">
      <c r="A225" s="6" t="s">
        <v>57</v>
      </c>
      <c r="B225" s="6" t="s">
        <v>58</v>
      </c>
      <c r="C225" s="6" t="s">
        <v>59</v>
      </c>
      <c r="D225" s="6" t="s">
        <v>60</v>
      </c>
      <c r="E225" s="6" t="s">
        <v>61</v>
      </c>
      <c r="F225" s="6" t="s">
        <v>43</v>
      </c>
      <c r="G225" s="6" t="s">
        <v>44</v>
      </c>
      <c r="H225" s="6" t="s">
        <v>42</v>
      </c>
      <c r="I225" s="7" t="n">
        <v>2</v>
      </c>
      <c r="J225" s="7" t="n">
        <v>3.8</v>
      </c>
      <c r="K225" s="6" t="s">
        <v>25</v>
      </c>
      <c r="L225" s="6" t="n">
        <v>189</v>
      </c>
      <c r="M225" s="7" t="n">
        <f aca="false">L225*J225</f>
        <v>718.2</v>
      </c>
      <c r="N225" s="7" t="n">
        <f aca="false">L225*I225</f>
        <v>378</v>
      </c>
      <c r="O225" s="7" t="n">
        <f aca="false">M225-N225</f>
        <v>340.2</v>
      </c>
      <c r="P225" s="8" t="n">
        <f aca="false">IFERROR(O225/M225,0)</f>
        <v>0.473684210526316</v>
      </c>
    </row>
    <row r="226" customFormat="false" ht="15" hidden="false" customHeight="true" outlineLevel="0" collapsed="false">
      <c r="A226" s="3" t="s">
        <v>57</v>
      </c>
      <c r="B226" s="3" t="s">
        <v>58</v>
      </c>
      <c r="C226" s="3" t="s">
        <v>59</v>
      </c>
      <c r="D226" s="3" t="s">
        <v>60</v>
      </c>
      <c r="E226" s="3" t="s">
        <v>61</v>
      </c>
      <c r="F226" s="3" t="s">
        <v>43</v>
      </c>
      <c r="G226" s="3" t="s">
        <v>44</v>
      </c>
      <c r="H226" s="3" t="s">
        <v>42</v>
      </c>
      <c r="I226" s="4" t="n">
        <v>2</v>
      </c>
      <c r="J226" s="4" t="n">
        <v>3.8</v>
      </c>
      <c r="K226" s="3" t="s">
        <v>26</v>
      </c>
      <c r="L226" s="3" t="n">
        <v>206</v>
      </c>
      <c r="M226" s="4" t="n">
        <f aca="false">L226*J226</f>
        <v>782.8</v>
      </c>
      <c r="N226" s="4" t="n">
        <f aca="false">L226*I226</f>
        <v>412</v>
      </c>
      <c r="O226" s="4" t="n">
        <f aca="false">M226-N226</f>
        <v>370.8</v>
      </c>
      <c r="P226" s="5" t="n">
        <f aca="false">IFERROR(O226/M226,0)</f>
        <v>0.473684210526316</v>
      </c>
    </row>
    <row r="227" customFormat="false" ht="15" hidden="false" customHeight="true" outlineLevel="0" collapsed="false">
      <c r="A227" s="6" t="s">
        <v>57</v>
      </c>
      <c r="B227" s="6" t="s">
        <v>58</v>
      </c>
      <c r="C227" s="6" t="s">
        <v>59</v>
      </c>
      <c r="D227" s="6" t="s">
        <v>60</v>
      </c>
      <c r="E227" s="6" t="s">
        <v>61</v>
      </c>
      <c r="F227" s="6" t="s">
        <v>43</v>
      </c>
      <c r="G227" s="6" t="s">
        <v>44</v>
      </c>
      <c r="H227" s="6" t="s">
        <v>42</v>
      </c>
      <c r="I227" s="7" t="n">
        <v>2</v>
      </c>
      <c r="J227" s="7" t="n">
        <v>3.8</v>
      </c>
      <c r="K227" s="6" t="s">
        <v>27</v>
      </c>
      <c r="L227" s="6" t="n">
        <v>95</v>
      </c>
      <c r="M227" s="7" t="n">
        <f aca="false">L227*J227</f>
        <v>361</v>
      </c>
      <c r="N227" s="7" t="n">
        <f aca="false">L227*I227</f>
        <v>190</v>
      </c>
      <c r="O227" s="7" t="n">
        <f aca="false">M227-N227</f>
        <v>171</v>
      </c>
      <c r="P227" s="8" t="n">
        <f aca="false">IFERROR(O227/M227,0)</f>
        <v>0.473684210526316</v>
      </c>
    </row>
    <row r="228" customFormat="false" ht="15" hidden="false" customHeight="true" outlineLevel="0" collapsed="false">
      <c r="A228" s="3" t="s">
        <v>57</v>
      </c>
      <c r="B228" s="3" t="s">
        <v>58</v>
      </c>
      <c r="C228" s="3" t="s">
        <v>59</v>
      </c>
      <c r="D228" s="3" t="s">
        <v>60</v>
      </c>
      <c r="E228" s="3" t="s">
        <v>61</v>
      </c>
      <c r="F228" s="3" t="s">
        <v>43</v>
      </c>
      <c r="G228" s="3" t="s">
        <v>44</v>
      </c>
      <c r="H228" s="3" t="s">
        <v>42</v>
      </c>
      <c r="I228" s="4" t="n">
        <v>2</v>
      </c>
      <c r="J228" s="4" t="n">
        <v>3.8</v>
      </c>
      <c r="K228" s="3" t="s">
        <v>28</v>
      </c>
      <c r="L228" s="3" t="n">
        <v>296</v>
      </c>
      <c r="M228" s="4" t="n">
        <f aca="false">L228*J228</f>
        <v>1124.8</v>
      </c>
      <c r="N228" s="4" t="n">
        <f aca="false">L228*I228</f>
        <v>592</v>
      </c>
      <c r="O228" s="4" t="n">
        <f aca="false">M228-N228</f>
        <v>532.8</v>
      </c>
      <c r="P228" s="5" t="n">
        <f aca="false">IFERROR(O228/M228,0)</f>
        <v>0.473684210526316</v>
      </c>
    </row>
    <row r="229" customFormat="false" ht="15" hidden="false" customHeight="true" outlineLevel="0" collapsed="false">
      <c r="A229" s="6" t="s">
        <v>57</v>
      </c>
      <c r="B229" s="6" t="s">
        <v>58</v>
      </c>
      <c r="C229" s="6" t="s">
        <v>59</v>
      </c>
      <c r="D229" s="6" t="s">
        <v>60</v>
      </c>
      <c r="E229" s="6" t="s">
        <v>61</v>
      </c>
      <c r="F229" s="6" t="s">
        <v>43</v>
      </c>
      <c r="G229" s="6" t="s">
        <v>44</v>
      </c>
      <c r="H229" s="6" t="s">
        <v>42</v>
      </c>
      <c r="I229" s="7" t="n">
        <v>2</v>
      </c>
      <c r="J229" s="7" t="n">
        <v>3.8</v>
      </c>
      <c r="K229" s="6" t="s">
        <v>29</v>
      </c>
      <c r="L229" s="6" t="n">
        <v>163</v>
      </c>
      <c r="M229" s="7" t="n">
        <f aca="false">L229*J229</f>
        <v>619.4</v>
      </c>
      <c r="N229" s="7" t="n">
        <f aca="false">L229*I229</f>
        <v>326</v>
      </c>
      <c r="O229" s="7" t="n">
        <f aca="false">M229-N229</f>
        <v>293.4</v>
      </c>
      <c r="P229" s="8" t="n">
        <f aca="false">IFERROR(O229/M229,0)</f>
        <v>0.473684210526316</v>
      </c>
    </row>
    <row r="230" customFormat="false" ht="15" hidden="false" customHeight="true" outlineLevel="0" collapsed="false">
      <c r="A230" s="3" t="s">
        <v>57</v>
      </c>
      <c r="B230" s="3" t="s">
        <v>58</v>
      </c>
      <c r="C230" s="3" t="s">
        <v>59</v>
      </c>
      <c r="D230" s="3" t="s">
        <v>60</v>
      </c>
      <c r="E230" s="3" t="s">
        <v>61</v>
      </c>
      <c r="F230" s="3" t="s">
        <v>45</v>
      </c>
      <c r="G230" s="3" t="s">
        <v>46</v>
      </c>
      <c r="H230" s="3" t="s">
        <v>42</v>
      </c>
      <c r="I230" s="4" t="n">
        <v>5</v>
      </c>
      <c r="J230" s="4" t="n">
        <v>10</v>
      </c>
      <c r="K230" s="3" t="s">
        <v>24</v>
      </c>
      <c r="L230" s="3" t="n">
        <v>186</v>
      </c>
      <c r="M230" s="4" t="n">
        <f aca="false">L230*J230</f>
        <v>1860</v>
      </c>
      <c r="N230" s="4" t="n">
        <f aca="false">L230*I230</f>
        <v>930</v>
      </c>
      <c r="O230" s="4" t="n">
        <f aca="false">M230-N230</f>
        <v>930</v>
      </c>
      <c r="P230" s="5" t="n">
        <f aca="false">IFERROR(O230/M230,0)</f>
        <v>0.5</v>
      </c>
    </row>
    <row r="231" customFormat="false" ht="15" hidden="false" customHeight="true" outlineLevel="0" collapsed="false">
      <c r="A231" s="6" t="s">
        <v>57</v>
      </c>
      <c r="B231" s="6" t="s">
        <v>58</v>
      </c>
      <c r="C231" s="6" t="s">
        <v>59</v>
      </c>
      <c r="D231" s="6" t="s">
        <v>60</v>
      </c>
      <c r="E231" s="6" t="s">
        <v>61</v>
      </c>
      <c r="F231" s="6" t="s">
        <v>45</v>
      </c>
      <c r="G231" s="6" t="s">
        <v>46</v>
      </c>
      <c r="H231" s="6" t="s">
        <v>42</v>
      </c>
      <c r="I231" s="7" t="n">
        <v>5</v>
      </c>
      <c r="J231" s="7" t="n">
        <v>10</v>
      </c>
      <c r="K231" s="6" t="s">
        <v>25</v>
      </c>
      <c r="L231" s="6" t="n">
        <v>27</v>
      </c>
      <c r="M231" s="7" t="n">
        <f aca="false">L231*J231</f>
        <v>270</v>
      </c>
      <c r="N231" s="7" t="n">
        <f aca="false">L231*I231</f>
        <v>135</v>
      </c>
      <c r="O231" s="7" t="n">
        <f aca="false">M231-N231</f>
        <v>135</v>
      </c>
      <c r="P231" s="8" t="n">
        <f aca="false">IFERROR(O231/M231,0)</f>
        <v>0.5</v>
      </c>
    </row>
    <row r="232" customFormat="false" ht="15" hidden="false" customHeight="true" outlineLevel="0" collapsed="false">
      <c r="A232" s="3" t="s">
        <v>57</v>
      </c>
      <c r="B232" s="3" t="s">
        <v>58</v>
      </c>
      <c r="C232" s="3" t="s">
        <v>59</v>
      </c>
      <c r="D232" s="3" t="s">
        <v>60</v>
      </c>
      <c r="E232" s="3" t="s">
        <v>61</v>
      </c>
      <c r="F232" s="3" t="s">
        <v>45</v>
      </c>
      <c r="G232" s="3" t="s">
        <v>46</v>
      </c>
      <c r="H232" s="3" t="s">
        <v>42</v>
      </c>
      <c r="I232" s="4" t="n">
        <v>5</v>
      </c>
      <c r="J232" s="4" t="n">
        <v>10</v>
      </c>
      <c r="K232" s="3" t="s">
        <v>26</v>
      </c>
      <c r="L232" s="3" t="n">
        <v>189</v>
      </c>
      <c r="M232" s="4" t="n">
        <f aca="false">L232*J232</f>
        <v>1890</v>
      </c>
      <c r="N232" s="4" t="n">
        <f aca="false">L232*I232</f>
        <v>945</v>
      </c>
      <c r="O232" s="4" t="n">
        <f aca="false">M232-N232</f>
        <v>945</v>
      </c>
      <c r="P232" s="5" t="n">
        <f aca="false">IFERROR(O232/M232,0)</f>
        <v>0.5</v>
      </c>
    </row>
    <row r="233" customFormat="false" ht="15" hidden="false" customHeight="true" outlineLevel="0" collapsed="false">
      <c r="A233" s="6" t="s">
        <v>57</v>
      </c>
      <c r="B233" s="6" t="s">
        <v>58</v>
      </c>
      <c r="C233" s="6" t="s">
        <v>59</v>
      </c>
      <c r="D233" s="6" t="s">
        <v>60</v>
      </c>
      <c r="E233" s="6" t="s">
        <v>61</v>
      </c>
      <c r="F233" s="6" t="s">
        <v>45</v>
      </c>
      <c r="G233" s="6" t="s">
        <v>46</v>
      </c>
      <c r="H233" s="6" t="s">
        <v>42</v>
      </c>
      <c r="I233" s="7" t="n">
        <v>5</v>
      </c>
      <c r="J233" s="7" t="n">
        <v>10</v>
      </c>
      <c r="K233" s="6" t="s">
        <v>27</v>
      </c>
      <c r="L233" s="6" t="n">
        <v>270</v>
      </c>
      <c r="M233" s="7" t="n">
        <f aca="false">L233*J233</f>
        <v>2700</v>
      </c>
      <c r="N233" s="7" t="n">
        <f aca="false">L233*I233</f>
        <v>1350</v>
      </c>
      <c r="O233" s="7" t="n">
        <f aca="false">M233-N233</f>
        <v>1350</v>
      </c>
      <c r="P233" s="8" t="n">
        <f aca="false">IFERROR(O233/M233,0)</f>
        <v>0.5</v>
      </c>
    </row>
    <row r="234" customFormat="false" ht="15" hidden="false" customHeight="true" outlineLevel="0" collapsed="false">
      <c r="A234" s="3" t="s">
        <v>57</v>
      </c>
      <c r="B234" s="3" t="s">
        <v>58</v>
      </c>
      <c r="C234" s="3" t="s">
        <v>59</v>
      </c>
      <c r="D234" s="3" t="s">
        <v>60</v>
      </c>
      <c r="E234" s="3" t="s">
        <v>61</v>
      </c>
      <c r="F234" s="3" t="s">
        <v>45</v>
      </c>
      <c r="G234" s="3" t="s">
        <v>46</v>
      </c>
      <c r="H234" s="3" t="s">
        <v>42</v>
      </c>
      <c r="I234" s="4" t="n">
        <v>5</v>
      </c>
      <c r="J234" s="4" t="n">
        <v>10</v>
      </c>
      <c r="K234" s="3" t="s">
        <v>28</v>
      </c>
      <c r="L234" s="3" t="n">
        <v>236</v>
      </c>
      <c r="M234" s="4" t="n">
        <f aca="false">L234*J234</f>
        <v>2360</v>
      </c>
      <c r="N234" s="4" t="n">
        <f aca="false">L234*I234</f>
        <v>1180</v>
      </c>
      <c r="O234" s="4" t="n">
        <f aca="false">M234-N234</f>
        <v>1180</v>
      </c>
      <c r="P234" s="5" t="n">
        <f aca="false">IFERROR(O234/M234,0)</f>
        <v>0.5</v>
      </c>
    </row>
    <row r="235" customFormat="false" ht="15" hidden="false" customHeight="true" outlineLevel="0" collapsed="false">
      <c r="A235" s="6" t="s">
        <v>57</v>
      </c>
      <c r="B235" s="6" t="s">
        <v>58</v>
      </c>
      <c r="C235" s="6" t="s">
        <v>59</v>
      </c>
      <c r="D235" s="6" t="s">
        <v>60</v>
      </c>
      <c r="E235" s="6" t="s">
        <v>61</v>
      </c>
      <c r="F235" s="6" t="s">
        <v>45</v>
      </c>
      <c r="G235" s="6" t="s">
        <v>46</v>
      </c>
      <c r="H235" s="6" t="s">
        <v>42</v>
      </c>
      <c r="I235" s="7" t="n">
        <v>5</v>
      </c>
      <c r="J235" s="7" t="n">
        <v>10</v>
      </c>
      <c r="K235" s="6" t="s">
        <v>29</v>
      </c>
      <c r="L235" s="6" t="n">
        <v>336</v>
      </c>
      <c r="M235" s="7" t="n">
        <f aca="false">L235*J235</f>
        <v>3360</v>
      </c>
      <c r="N235" s="7" t="n">
        <f aca="false">L235*I235</f>
        <v>1680</v>
      </c>
      <c r="O235" s="7" t="n">
        <f aca="false">M235-N235</f>
        <v>1680</v>
      </c>
      <c r="P235" s="8" t="n">
        <f aca="false">IFERROR(O235/M235,0)</f>
        <v>0.5</v>
      </c>
    </row>
    <row r="236" customFormat="false" ht="15" hidden="false" customHeight="true" outlineLevel="0" collapsed="false">
      <c r="A236" s="3" t="s">
        <v>57</v>
      </c>
      <c r="B236" s="3" t="s">
        <v>58</v>
      </c>
      <c r="C236" s="3" t="s">
        <v>59</v>
      </c>
      <c r="D236" s="3" t="s">
        <v>60</v>
      </c>
      <c r="E236" s="3" t="s">
        <v>61</v>
      </c>
      <c r="F236" s="3" t="s">
        <v>47</v>
      </c>
      <c r="G236" s="3" t="s">
        <v>48</v>
      </c>
      <c r="H236" s="3" t="s">
        <v>42</v>
      </c>
      <c r="I236" s="4" t="n">
        <v>2.8</v>
      </c>
      <c r="J236" s="4" t="n">
        <v>5.5</v>
      </c>
      <c r="K236" s="3" t="s">
        <v>24</v>
      </c>
      <c r="L236" s="3" t="n">
        <v>145</v>
      </c>
      <c r="M236" s="4" t="n">
        <f aca="false">L236*J236</f>
        <v>797.5</v>
      </c>
      <c r="N236" s="4" t="n">
        <f aca="false">L236*I236</f>
        <v>406</v>
      </c>
      <c r="O236" s="4" t="n">
        <f aca="false">M236-N236</f>
        <v>391.5</v>
      </c>
      <c r="P236" s="5" t="n">
        <f aca="false">IFERROR(O236/M236,0)</f>
        <v>0.490909090909091</v>
      </c>
    </row>
    <row r="237" customFormat="false" ht="15" hidden="false" customHeight="true" outlineLevel="0" collapsed="false">
      <c r="A237" s="6" t="s">
        <v>57</v>
      </c>
      <c r="B237" s="6" t="s">
        <v>58</v>
      </c>
      <c r="C237" s="6" t="s">
        <v>59</v>
      </c>
      <c r="D237" s="6" t="s">
        <v>60</v>
      </c>
      <c r="E237" s="6" t="s">
        <v>61</v>
      </c>
      <c r="F237" s="6" t="s">
        <v>47</v>
      </c>
      <c r="G237" s="6" t="s">
        <v>48</v>
      </c>
      <c r="H237" s="6" t="s">
        <v>42</v>
      </c>
      <c r="I237" s="7" t="n">
        <v>2.8</v>
      </c>
      <c r="J237" s="7" t="n">
        <v>5.5</v>
      </c>
      <c r="K237" s="6" t="s">
        <v>25</v>
      </c>
      <c r="L237" s="6" t="n">
        <v>253</v>
      </c>
      <c r="M237" s="7" t="n">
        <f aca="false">L237*J237</f>
        <v>1391.5</v>
      </c>
      <c r="N237" s="7" t="n">
        <f aca="false">L237*I237</f>
        <v>708.4</v>
      </c>
      <c r="O237" s="7" t="n">
        <f aca="false">M237-N237</f>
        <v>683.1</v>
      </c>
      <c r="P237" s="8" t="n">
        <f aca="false">IFERROR(O237/M237,0)</f>
        <v>0.490909090909091</v>
      </c>
    </row>
    <row r="238" customFormat="false" ht="15" hidden="false" customHeight="true" outlineLevel="0" collapsed="false">
      <c r="A238" s="3" t="s">
        <v>57</v>
      </c>
      <c r="B238" s="3" t="s">
        <v>58</v>
      </c>
      <c r="C238" s="3" t="s">
        <v>59</v>
      </c>
      <c r="D238" s="3" t="s">
        <v>60</v>
      </c>
      <c r="E238" s="3" t="s">
        <v>61</v>
      </c>
      <c r="F238" s="3" t="s">
        <v>47</v>
      </c>
      <c r="G238" s="3" t="s">
        <v>48</v>
      </c>
      <c r="H238" s="3" t="s">
        <v>42</v>
      </c>
      <c r="I238" s="4" t="n">
        <v>2.8</v>
      </c>
      <c r="J238" s="4" t="n">
        <v>5.5</v>
      </c>
      <c r="K238" s="3" t="s">
        <v>26</v>
      </c>
      <c r="L238" s="3" t="n">
        <v>79</v>
      </c>
      <c r="M238" s="4" t="n">
        <f aca="false">L238*J238</f>
        <v>434.5</v>
      </c>
      <c r="N238" s="4" t="n">
        <f aca="false">L238*I238</f>
        <v>221.2</v>
      </c>
      <c r="O238" s="4" t="n">
        <f aca="false">M238-N238</f>
        <v>213.3</v>
      </c>
      <c r="P238" s="5" t="n">
        <f aca="false">IFERROR(O238/M238,0)</f>
        <v>0.490909090909091</v>
      </c>
    </row>
    <row r="239" customFormat="false" ht="15" hidden="false" customHeight="true" outlineLevel="0" collapsed="false">
      <c r="A239" s="6" t="s">
        <v>57</v>
      </c>
      <c r="B239" s="6" t="s">
        <v>58</v>
      </c>
      <c r="C239" s="6" t="s">
        <v>59</v>
      </c>
      <c r="D239" s="6" t="s">
        <v>60</v>
      </c>
      <c r="E239" s="6" t="s">
        <v>61</v>
      </c>
      <c r="F239" s="6" t="s">
        <v>47</v>
      </c>
      <c r="G239" s="6" t="s">
        <v>48</v>
      </c>
      <c r="H239" s="6" t="s">
        <v>42</v>
      </c>
      <c r="I239" s="7" t="n">
        <v>2.8</v>
      </c>
      <c r="J239" s="7" t="n">
        <v>5.5</v>
      </c>
      <c r="K239" s="6" t="s">
        <v>27</v>
      </c>
      <c r="L239" s="6" t="n">
        <v>317</v>
      </c>
      <c r="M239" s="7" t="n">
        <f aca="false">L239*J239</f>
        <v>1743.5</v>
      </c>
      <c r="N239" s="7" t="n">
        <f aca="false">L239*I239</f>
        <v>887.6</v>
      </c>
      <c r="O239" s="7" t="n">
        <f aca="false">M239-N239</f>
        <v>855.9</v>
      </c>
      <c r="P239" s="8" t="n">
        <f aca="false">IFERROR(O239/M239,0)</f>
        <v>0.490909090909091</v>
      </c>
    </row>
    <row r="240" customFormat="false" ht="15" hidden="false" customHeight="true" outlineLevel="0" collapsed="false">
      <c r="A240" s="3" t="s">
        <v>57</v>
      </c>
      <c r="B240" s="3" t="s">
        <v>58</v>
      </c>
      <c r="C240" s="3" t="s">
        <v>59</v>
      </c>
      <c r="D240" s="3" t="s">
        <v>60</v>
      </c>
      <c r="E240" s="3" t="s">
        <v>61</v>
      </c>
      <c r="F240" s="3" t="s">
        <v>47</v>
      </c>
      <c r="G240" s="3" t="s">
        <v>48</v>
      </c>
      <c r="H240" s="3" t="s">
        <v>42</v>
      </c>
      <c r="I240" s="4" t="n">
        <v>2.8</v>
      </c>
      <c r="J240" s="4" t="n">
        <v>5.5</v>
      </c>
      <c r="K240" s="3" t="s">
        <v>28</v>
      </c>
      <c r="L240" s="3" t="n">
        <v>233</v>
      </c>
      <c r="M240" s="4" t="n">
        <f aca="false">L240*J240</f>
        <v>1281.5</v>
      </c>
      <c r="N240" s="4" t="n">
        <f aca="false">L240*I240</f>
        <v>652.4</v>
      </c>
      <c r="O240" s="4" t="n">
        <f aca="false">M240-N240</f>
        <v>629.1</v>
      </c>
      <c r="P240" s="5" t="n">
        <f aca="false">IFERROR(O240/M240,0)</f>
        <v>0.490909090909091</v>
      </c>
    </row>
    <row r="241" customFormat="false" ht="15" hidden="false" customHeight="true" outlineLevel="0" collapsed="false">
      <c r="A241" s="6" t="s">
        <v>57</v>
      </c>
      <c r="B241" s="6" t="s">
        <v>58</v>
      </c>
      <c r="C241" s="6" t="s">
        <v>59</v>
      </c>
      <c r="D241" s="6" t="s">
        <v>60</v>
      </c>
      <c r="E241" s="6" t="s">
        <v>61</v>
      </c>
      <c r="F241" s="6" t="s">
        <v>47</v>
      </c>
      <c r="G241" s="6" t="s">
        <v>48</v>
      </c>
      <c r="H241" s="6" t="s">
        <v>42</v>
      </c>
      <c r="I241" s="7" t="n">
        <v>2.8</v>
      </c>
      <c r="J241" s="7" t="n">
        <v>5.5</v>
      </c>
      <c r="K241" s="6" t="s">
        <v>29</v>
      </c>
      <c r="L241" s="6" t="n">
        <v>194</v>
      </c>
      <c r="M241" s="7" t="n">
        <f aca="false">L241*J241</f>
        <v>1067</v>
      </c>
      <c r="N241" s="7" t="n">
        <f aca="false">L241*I241</f>
        <v>543.2</v>
      </c>
      <c r="O241" s="7" t="n">
        <f aca="false">M241-N241</f>
        <v>523.8</v>
      </c>
      <c r="P241" s="8" t="n">
        <f aca="false">IFERROR(O241/M241,0)</f>
        <v>0.490909090909091</v>
      </c>
    </row>
    <row r="242" customFormat="false" ht="15" hidden="false" customHeight="true" outlineLevel="0" collapsed="false">
      <c r="A242" s="3" t="s">
        <v>62</v>
      </c>
      <c r="B242" s="3" t="s">
        <v>63</v>
      </c>
      <c r="C242" s="3" t="s">
        <v>64</v>
      </c>
      <c r="D242" s="3" t="s">
        <v>65</v>
      </c>
      <c r="E242" s="3" t="s">
        <v>52</v>
      </c>
      <c r="F242" s="3" t="s">
        <v>21</v>
      </c>
      <c r="G242" s="3" t="s">
        <v>22</v>
      </c>
      <c r="H242" s="3" t="s">
        <v>23</v>
      </c>
      <c r="I242" s="4" t="n">
        <v>8.99</v>
      </c>
      <c r="J242" s="4" t="n">
        <v>22</v>
      </c>
      <c r="K242" s="3" t="s">
        <v>24</v>
      </c>
      <c r="L242" s="3" t="n">
        <v>141</v>
      </c>
      <c r="M242" s="4" t="n">
        <f aca="false">L242*J242</f>
        <v>3102</v>
      </c>
      <c r="N242" s="4" t="n">
        <f aca="false">L242*I242</f>
        <v>1267.59</v>
      </c>
      <c r="O242" s="4" t="n">
        <f aca="false">M242-N242</f>
        <v>1834.41</v>
      </c>
      <c r="P242" s="5" t="n">
        <f aca="false">IFERROR(O242/M242,0)</f>
        <v>0.591363636363636</v>
      </c>
    </row>
    <row r="243" customFormat="false" ht="15" hidden="false" customHeight="true" outlineLevel="0" collapsed="false">
      <c r="A243" s="6" t="s">
        <v>62</v>
      </c>
      <c r="B243" s="6" t="s">
        <v>63</v>
      </c>
      <c r="C243" s="6" t="s">
        <v>64</v>
      </c>
      <c r="D243" s="6" t="s">
        <v>65</v>
      </c>
      <c r="E243" s="6" t="s">
        <v>52</v>
      </c>
      <c r="F243" s="6" t="s">
        <v>21</v>
      </c>
      <c r="G243" s="6" t="s">
        <v>22</v>
      </c>
      <c r="H243" s="6" t="s">
        <v>23</v>
      </c>
      <c r="I243" s="7" t="n">
        <v>8.99</v>
      </c>
      <c r="J243" s="7" t="n">
        <v>22</v>
      </c>
      <c r="K243" s="6" t="s">
        <v>25</v>
      </c>
      <c r="L243" s="6" t="n">
        <v>89</v>
      </c>
      <c r="M243" s="7" t="n">
        <f aca="false">L243*J243</f>
        <v>1958</v>
      </c>
      <c r="N243" s="7" t="n">
        <f aca="false">L243*I243</f>
        <v>800.11</v>
      </c>
      <c r="O243" s="7" t="n">
        <f aca="false">M243-N243</f>
        <v>1157.89</v>
      </c>
      <c r="P243" s="8" t="n">
        <f aca="false">IFERROR(O243/M243,0)</f>
        <v>0.591363636363636</v>
      </c>
    </row>
    <row r="244" customFormat="false" ht="15" hidden="false" customHeight="true" outlineLevel="0" collapsed="false">
      <c r="A244" s="3" t="s">
        <v>62</v>
      </c>
      <c r="B244" s="3" t="s">
        <v>63</v>
      </c>
      <c r="C244" s="3" t="s">
        <v>64</v>
      </c>
      <c r="D244" s="3" t="s">
        <v>65</v>
      </c>
      <c r="E244" s="3" t="s">
        <v>52</v>
      </c>
      <c r="F244" s="3" t="s">
        <v>21</v>
      </c>
      <c r="G244" s="3" t="s">
        <v>22</v>
      </c>
      <c r="H244" s="3" t="s">
        <v>23</v>
      </c>
      <c r="I244" s="4" t="n">
        <v>8.99</v>
      </c>
      <c r="J244" s="4" t="n">
        <v>22</v>
      </c>
      <c r="K244" s="3" t="s">
        <v>26</v>
      </c>
      <c r="L244" s="3" t="n">
        <v>55</v>
      </c>
      <c r="M244" s="4" t="n">
        <f aca="false">L244*J244</f>
        <v>1210</v>
      </c>
      <c r="N244" s="4" t="n">
        <f aca="false">L244*I244</f>
        <v>494.45</v>
      </c>
      <c r="O244" s="4" t="n">
        <f aca="false">M244-N244</f>
        <v>715.55</v>
      </c>
      <c r="P244" s="5" t="n">
        <f aca="false">IFERROR(O244/M244,0)</f>
        <v>0.591363636363636</v>
      </c>
    </row>
    <row r="245" customFormat="false" ht="15" hidden="false" customHeight="true" outlineLevel="0" collapsed="false">
      <c r="A245" s="6" t="s">
        <v>62</v>
      </c>
      <c r="B245" s="6" t="s">
        <v>63</v>
      </c>
      <c r="C245" s="6" t="s">
        <v>64</v>
      </c>
      <c r="D245" s="6" t="s">
        <v>65</v>
      </c>
      <c r="E245" s="6" t="s">
        <v>52</v>
      </c>
      <c r="F245" s="6" t="s">
        <v>21</v>
      </c>
      <c r="G245" s="6" t="s">
        <v>22</v>
      </c>
      <c r="H245" s="6" t="s">
        <v>23</v>
      </c>
      <c r="I245" s="7" t="n">
        <v>8.99</v>
      </c>
      <c r="J245" s="7" t="n">
        <v>22</v>
      </c>
      <c r="K245" s="6" t="s">
        <v>27</v>
      </c>
      <c r="L245" s="6" t="n">
        <v>295</v>
      </c>
      <c r="M245" s="7" t="n">
        <f aca="false">L245*J245</f>
        <v>6490</v>
      </c>
      <c r="N245" s="7" t="n">
        <f aca="false">L245*I245</f>
        <v>2652.05</v>
      </c>
      <c r="O245" s="7" t="n">
        <f aca="false">M245-N245</f>
        <v>3837.95</v>
      </c>
      <c r="P245" s="8" t="n">
        <f aca="false">IFERROR(O245/M245,0)</f>
        <v>0.591363636363636</v>
      </c>
    </row>
    <row r="246" customFormat="false" ht="15" hidden="false" customHeight="true" outlineLevel="0" collapsed="false">
      <c r="A246" s="3" t="s">
        <v>62</v>
      </c>
      <c r="B246" s="3" t="s">
        <v>63</v>
      </c>
      <c r="C246" s="3" t="s">
        <v>64</v>
      </c>
      <c r="D246" s="3" t="s">
        <v>65</v>
      </c>
      <c r="E246" s="3" t="s">
        <v>52</v>
      </c>
      <c r="F246" s="3" t="s">
        <v>21</v>
      </c>
      <c r="G246" s="3" t="s">
        <v>22</v>
      </c>
      <c r="H246" s="3" t="s">
        <v>23</v>
      </c>
      <c r="I246" s="4" t="n">
        <v>8.99</v>
      </c>
      <c r="J246" s="4" t="n">
        <v>22</v>
      </c>
      <c r="K246" s="3" t="s">
        <v>28</v>
      </c>
      <c r="L246" s="3" t="n">
        <v>84</v>
      </c>
      <c r="M246" s="4" t="n">
        <f aca="false">L246*J246</f>
        <v>1848</v>
      </c>
      <c r="N246" s="4" t="n">
        <f aca="false">L246*I246</f>
        <v>755.16</v>
      </c>
      <c r="O246" s="4" t="n">
        <f aca="false">M246-N246</f>
        <v>1092.84</v>
      </c>
      <c r="P246" s="5" t="n">
        <f aca="false">IFERROR(O246/M246,0)</f>
        <v>0.591363636363636</v>
      </c>
    </row>
    <row r="247" customFormat="false" ht="15" hidden="false" customHeight="true" outlineLevel="0" collapsed="false">
      <c r="A247" s="6" t="s">
        <v>62</v>
      </c>
      <c r="B247" s="6" t="s">
        <v>63</v>
      </c>
      <c r="C247" s="6" t="s">
        <v>64</v>
      </c>
      <c r="D247" s="6" t="s">
        <v>65</v>
      </c>
      <c r="E247" s="6" t="s">
        <v>52</v>
      </c>
      <c r="F247" s="6" t="s">
        <v>21</v>
      </c>
      <c r="G247" s="6" t="s">
        <v>22</v>
      </c>
      <c r="H247" s="6" t="s">
        <v>23</v>
      </c>
      <c r="I247" s="7" t="n">
        <v>8.99</v>
      </c>
      <c r="J247" s="7" t="n">
        <v>22</v>
      </c>
      <c r="K247" s="6" t="s">
        <v>29</v>
      </c>
      <c r="L247" s="6" t="n">
        <v>324</v>
      </c>
      <c r="M247" s="7" t="n">
        <f aca="false">L247*J247</f>
        <v>7128</v>
      </c>
      <c r="N247" s="7" t="n">
        <f aca="false">L247*I247</f>
        <v>2912.76</v>
      </c>
      <c r="O247" s="7" t="n">
        <f aca="false">M247-N247</f>
        <v>4215.24</v>
      </c>
      <c r="P247" s="8" t="n">
        <f aca="false">IFERROR(O247/M247,0)</f>
        <v>0.591363636363636</v>
      </c>
    </row>
    <row r="248" customFormat="false" ht="15" hidden="false" customHeight="true" outlineLevel="0" collapsed="false">
      <c r="A248" s="3" t="s">
        <v>62</v>
      </c>
      <c r="B248" s="3" t="s">
        <v>63</v>
      </c>
      <c r="C248" s="3" t="s">
        <v>64</v>
      </c>
      <c r="D248" s="3" t="s">
        <v>65</v>
      </c>
      <c r="E248" s="3" t="s">
        <v>52</v>
      </c>
      <c r="F248" s="3" t="s">
        <v>30</v>
      </c>
      <c r="G248" s="3" t="s">
        <v>31</v>
      </c>
      <c r="H248" s="3" t="s">
        <v>23</v>
      </c>
      <c r="I248" s="4" t="n">
        <v>8.5</v>
      </c>
      <c r="J248" s="4" t="n">
        <v>21</v>
      </c>
      <c r="K248" s="3" t="s">
        <v>24</v>
      </c>
      <c r="L248" s="3" t="n">
        <v>131</v>
      </c>
      <c r="M248" s="4" t="n">
        <f aca="false">L248*J248</f>
        <v>2751</v>
      </c>
      <c r="N248" s="4" t="n">
        <f aca="false">L248*I248</f>
        <v>1113.5</v>
      </c>
      <c r="O248" s="4" t="n">
        <f aca="false">M248-N248</f>
        <v>1637.5</v>
      </c>
      <c r="P248" s="5" t="n">
        <f aca="false">IFERROR(O248/M248,0)</f>
        <v>0.595238095238095</v>
      </c>
    </row>
    <row r="249" customFormat="false" ht="15" hidden="false" customHeight="true" outlineLevel="0" collapsed="false">
      <c r="A249" s="6" t="s">
        <v>62</v>
      </c>
      <c r="B249" s="6" t="s">
        <v>63</v>
      </c>
      <c r="C249" s="6" t="s">
        <v>64</v>
      </c>
      <c r="D249" s="6" t="s">
        <v>65</v>
      </c>
      <c r="E249" s="6" t="s">
        <v>52</v>
      </c>
      <c r="F249" s="6" t="s">
        <v>30</v>
      </c>
      <c r="G249" s="6" t="s">
        <v>31</v>
      </c>
      <c r="H249" s="6" t="s">
        <v>23</v>
      </c>
      <c r="I249" s="7" t="n">
        <v>8.5</v>
      </c>
      <c r="J249" s="7" t="n">
        <v>21</v>
      </c>
      <c r="K249" s="6" t="s">
        <v>25</v>
      </c>
      <c r="L249" s="6" t="n">
        <v>270</v>
      </c>
      <c r="M249" s="7" t="n">
        <f aca="false">L249*J249</f>
        <v>5670</v>
      </c>
      <c r="N249" s="7" t="n">
        <f aca="false">L249*I249</f>
        <v>2295</v>
      </c>
      <c r="O249" s="7" t="n">
        <f aca="false">M249-N249</f>
        <v>3375</v>
      </c>
      <c r="P249" s="8" t="n">
        <f aca="false">IFERROR(O249/M249,0)</f>
        <v>0.595238095238095</v>
      </c>
    </row>
    <row r="250" customFormat="false" ht="15" hidden="false" customHeight="true" outlineLevel="0" collapsed="false">
      <c r="A250" s="3" t="s">
        <v>62</v>
      </c>
      <c r="B250" s="3" t="s">
        <v>63</v>
      </c>
      <c r="C250" s="3" t="s">
        <v>64</v>
      </c>
      <c r="D250" s="3" t="s">
        <v>65</v>
      </c>
      <c r="E250" s="3" t="s">
        <v>52</v>
      </c>
      <c r="F250" s="3" t="s">
        <v>30</v>
      </c>
      <c r="G250" s="3" t="s">
        <v>31</v>
      </c>
      <c r="H250" s="3" t="s">
        <v>23</v>
      </c>
      <c r="I250" s="4" t="n">
        <v>8.5</v>
      </c>
      <c r="J250" s="4" t="n">
        <v>21</v>
      </c>
      <c r="K250" s="3" t="s">
        <v>26</v>
      </c>
      <c r="L250" s="3" t="n">
        <v>163</v>
      </c>
      <c r="M250" s="4" t="n">
        <f aca="false">L250*J250</f>
        <v>3423</v>
      </c>
      <c r="N250" s="4" t="n">
        <f aca="false">L250*I250</f>
        <v>1385.5</v>
      </c>
      <c r="O250" s="4" t="n">
        <f aca="false">M250-N250</f>
        <v>2037.5</v>
      </c>
      <c r="P250" s="5" t="n">
        <f aca="false">IFERROR(O250/M250,0)</f>
        <v>0.595238095238095</v>
      </c>
    </row>
    <row r="251" customFormat="false" ht="15" hidden="false" customHeight="true" outlineLevel="0" collapsed="false">
      <c r="A251" s="6" t="s">
        <v>62</v>
      </c>
      <c r="B251" s="6" t="s">
        <v>63</v>
      </c>
      <c r="C251" s="6" t="s">
        <v>64</v>
      </c>
      <c r="D251" s="6" t="s">
        <v>65</v>
      </c>
      <c r="E251" s="6" t="s">
        <v>52</v>
      </c>
      <c r="F251" s="6" t="s">
        <v>30</v>
      </c>
      <c r="G251" s="6" t="s">
        <v>31</v>
      </c>
      <c r="H251" s="6" t="s">
        <v>23</v>
      </c>
      <c r="I251" s="7" t="n">
        <v>8.5</v>
      </c>
      <c r="J251" s="7" t="n">
        <v>21</v>
      </c>
      <c r="K251" s="6" t="s">
        <v>27</v>
      </c>
      <c r="L251" s="6" t="n">
        <v>26</v>
      </c>
      <c r="M251" s="7" t="n">
        <f aca="false">L251*J251</f>
        <v>546</v>
      </c>
      <c r="N251" s="7" t="n">
        <f aca="false">L251*I251</f>
        <v>221</v>
      </c>
      <c r="O251" s="7" t="n">
        <f aca="false">M251-N251</f>
        <v>325</v>
      </c>
      <c r="P251" s="8" t="n">
        <f aca="false">IFERROR(O251/M251,0)</f>
        <v>0.595238095238095</v>
      </c>
    </row>
    <row r="252" customFormat="false" ht="15" hidden="false" customHeight="true" outlineLevel="0" collapsed="false">
      <c r="A252" s="3" t="s">
        <v>62</v>
      </c>
      <c r="B252" s="3" t="s">
        <v>63</v>
      </c>
      <c r="C252" s="3" t="s">
        <v>64</v>
      </c>
      <c r="D252" s="3" t="s">
        <v>65</v>
      </c>
      <c r="E252" s="3" t="s">
        <v>52</v>
      </c>
      <c r="F252" s="3" t="s">
        <v>30</v>
      </c>
      <c r="G252" s="3" t="s">
        <v>31</v>
      </c>
      <c r="H252" s="3" t="s">
        <v>23</v>
      </c>
      <c r="I252" s="4" t="n">
        <v>8.5</v>
      </c>
      <c r="J252" s="4" t="n">
        <v>21</v>
      </c>
      <c r="K252" s="3" t="s">
        <v>28</v>
      </c>
      <c r="L252" s="3" t="n">
        <v>293</v>
      </c>
      <c r="M252" s="4" t="n">
        <f aca="false">L252*J252</f>
        <v>6153</v>
      </c>
      <c r="N252" s="4" t="n">
        <f aca="false">L252*I252</f>
        <v>2490.5</v>
      </c>
      <c r="O252" s="4" t="n">
        <f aca="false">M252-N252</f>
        <v>3662.5</v>
      </c>
      <c r="P252" s="5" t="n">
        <f aca="false">IFERROR(O252/M252,0)</f>
        <v>0.595238095238095</v>
      </c>
    </row>
    <row r="253" customFormat="false" ht="15" hidden="false" customHeight="true" outlineLevel="0" collapsed="false">
      <c r="A253" s="6" t="s">
        <v>62</v>
      </c>
      <c r="B253" s="6" t="s">
        <v>63</v>
      </c>
      <c r="C253" s="6" t="s">
        <v>64</v>
      </c>
      <c r="D253" s="6" t="s">
        <v>65</v>
      </c>
      <c r="E253" s="6" t="s">
        <v>52</v>
      </c>
      <c r="F253" s="6" t="s">
        <v>30</v>
      </c>
      <c r="G253" s="6" t="s">
        <v>31</v>
      </c>
      <c r="H253" s="6" t="s">
        <v>23</v>
      </c>
      <c r="I253" s="7" t="n">
        <v>8.5</v>
      </c>
      <c r="J253" s="7" t="n">
        <v>21</v>
      </c>
      <c r="K253" s="6" t="s">
        <v>29</v>
      </c>
      <c r="L253" s="6" t="n">
        <v>162</v>
      </c>
      <c r="M253" s="7" t="n">
        <f aca="false">L253*J253</f>
        <v>3402</v>
      </c>
      <c r="N253" s="7" t="n">
        <f aca="false">L253*I253</f>
        <v>1377</v>
      </c>
      <c r="O253" s="7" t="n">
        <f aca="false">M253-N253</f>
        <v>2025</v>
      </c>
      <c r="P253" s="8" t="n">
        <f aca="false">IFERROR(O253/M253,0)</f>
        <v>0.595238095238095</v>
      </c>
    </row>
    <row r="254" customFormat="false" ht="15" hidden="false" customHeight="true" outlineLevel="0" collapsed="false">
      <c r="A254" s="3" t="s">
        <v>62</v>
      </c>
      <c r="B254" s="3" t="s">
        <v>63</v>
      </c>
      <c r="C254" s="3" t="s">
        <v>64</v>
      </c>
      <c r="D254" s="3" t="s">
        <v>65</v>
      </c>
      <c r="E254" s="3" t="s">
        <v>52</v>
      </c>
      <c r="F254" s="3" t="s">
        <v>32</v>
      </c>
      <c r="G254" s="3" t="s">
        <v>33</v>
      </c>
      <c r="H254" s="3" t="s">
        <v>23</v>
      </c>
      <c r="I254" s="4" t="n">
        <v>2.5</v>
      </c>
      <c r="J254" s="4" t="n">
        <v>4.5</v>
      </c>
      <c r="K254" s="3" t="s">
        <v>24</v>
      </c>
      <c r="L254" s="3" t="n">
        <v>258</v>
      </c>
      <c r="M254" s="4" t="n">
        <f aca="false">L254*J254</f>
        <v>1161</v>
      </c>
      <c r="N254" s="4" t="n">
        <f aca="false">L254*I254</f>
        <v>645</v>
      </c>
      <c r="O254" s="4" t="n">
        <f aca="false">M254-N254</f>
        <v>516</v>
      </c>
      <c r="P254" s="5" t="n">
        <f aca="false">IFERROR(O254/M254,0)</f>
        <v>0.444444444444444</v>
      </c>
    </row>
    <row r="255" customFormat="false" ht="15" hidden="false" customHeight="true" outlineLevel="0" collapsed="false">
      <c r="A255" s="6" t="s">
        <v>62</v>
      </c>
      <c r="B255" s="6" t="s">
        <v>63</v>
      </c>
      <c r="C255" s="6" t="s">
        <v>64</v>
      </c>
      <c r="D255" s="6" t="s">
        <v>65</v>
      </c>
      <c r="E255" s="6" t="s">
        <v>52</v>
      </c>
      <c r="F255" s="6" t="s">
        <v>32</v>
      </c>
      <c r="G255" s="6" t="s">
        <v>33</v>
      </c>
      <c r="H255" s="6" t="s">
        <v>23</v>
      </c>
      <c r="I255" s="7" t="n">
        <v>2.5</v>
      </c>
      <c r="J255" s="7" t="n">
        <v>4.5</v>
      </c>
      <c r="K255" s="6" t="s">
        <v>25</v>
      </c>
      <c r="L255" s="6" t="n">
        <v>142</v>
      </c>
      <c r="M255" s="7" t="n">
        <f aca="false">L255*J255</f>
        <v>639</v>
      </c>
      <c r="N255" s="7" t="n">
        <f aca="false">L255*I255</f>
        <v>355</v>
      </c>
      <c r="O255" s="7" t="n">
        <f aca="false">M255-N255</f>
        <v>284</v>
      </c>
      <c r="P255" s="8" t="n">
        <f aca="false">IFERROR(O255/M255,0)</f>
        <v>0.444444444444444</v>
      </c>
    </row>
    <row r="256" customFormat="false" ht="15" hidden="false" customHeight="true" outlineLevel="0" collapsed="false">
      <c r="A256" s="3" t="s">
        <v>62</v>
      </c>
      <c r="B256" s="3" t="s">
        <v>63</v>
      </c>
      <c r="C256" s="3" t="s">
        <v>64</v>
      </c>
      <c r="D256" s="3" t="s">
        <v>65</v>
      </c>
      <c r="E256" s="3" t="s">
        <v>52</v>
      </c>
      <c r="F256" s="3" t="s">
        <v>32</v>
      </c>
      <c r="G256" s="3" t="s">
        <v>33</v>
      </c>
      <c r="H256" s="3" t="s">
        <v>23</v>
      </c>
      <c r="I256" s="4" t="n">
        <v>2.5</v>
      </c>
      <c r="J256" s="4" t="n">
        <v>4.5</v>
      </c>
      <c r="K256" s="3" t="s">
        <v>26</v>
      </c>
      <c r="L256" s="3" t="n">
        <v>283</v>
      </c>
      <c r="M256" s="4" t="n">
        <f aca="false">L256*J256</f>
        <v>1273.5</v>
      </c>
      <c r="N256" s="4" t="n">
        <f aca="false">L256*I256</f>
        <v>707.5</v>
      </c>
      <c r="O256" s="4" t="n">
        <f aca="false">M256-N256</f>
        <v>566</v>
      </c>
      <c r="P256" s="5" t="n">
        <f aca="false">IFERROR(O256/M256,0)</f>
        <v>0.444444444444444</v>
      </c>
    </row>
    <row r="257" customFormat="false" ht="15" hidden="false" customHeight="true" outlineLevel="0" collapsed="false">
      <c r="A257" s="6" t="s">
        <v>62</v>
      </c>
      <c r="B257" s="6" t="s">
        <v>63</v>
      </c>
      <c r="C257" s="6" t="s">
        <v>64</v>
      </c>
      <c r="D257" s="6" t="s">
        <v>65</v>
      </c>
      <c r="E257" s="6" t="s">
        <v>52</v>
      </c>
      <c r="F257" s="6" t="s">
        <v>32</v>
      </c>
      <c r="G257" s="6" t="s">
        <v>33</v>
      </c>
      <c r="H257" s="6" t="s">
        <v>23</v>
      </c>
      <c r="I257" s="7" t="n">
        <v>2.5</v>
      </c>
      <c r="J257" s="7" t="n">
        <v>4.5</v>
      </c>
      <c r="K257" s="6" t="s">
        <v>27</v>
      </c>
      <c r="L257" s="6" t="n">
        <v>286</v>
      </c>
      <c r="M257" s="7" t="n">
        <f aca="false">L257*J257</f>
        <v>1287</v>
      </c>
      <c r="N257" s="7" t="n">
        <f aca="false">L257*I257</f>
        <v>715</v>
      </c>
      <c r="O257" s="7" t="n">
        <f aca="false">M257-N257</f>
        <v>572</v>
      </c>
      <c r="P257" s="8" t="n">
        <f aca="false">IFERROR(O257/M257,0)</f>
        <v>0.444444444444444</v>
      </c>
    </row>
    <row r="258" customFormat="false" ht="15" hidden="false" customHeight="true" outlineLevel="0" collapsed="false">
      <c r="A258" s="3" t="s">
        <v>62</v>
      </c>
      <c r="B258" s="3" t="s">
        <v>63</v>
      </c>
      <c r="C258" s="3" t="s">
        <v>64</v>
      </c>
      <c r="D258" s="3" t="s">
        <v>65</v>
      </c>
      <c r="E258" s="3" t="s">
        <v>52</v>
      </c>
      <c r="F258" s="3" t="s">
        <v>32</v>
      </c>
      <c r="G258" s="3" t="s">
        <v>33</v>
      </c>
      <c r="H258" s="3" t="s">
        <v>23</v>
      </c>
      <c r="I258" s="4" t="n">
        <v>2.5</v>
      </c>
      <c r="J258" s="4" t="n">
        <v>4.5</v>
      </c>
      <c r="K258" s="3" t="s">
        <v>28</v>
      </c>
      <c r="L258" s="3" t="n">
        <v>234</v>
      </c>
      <c r="M258" s="4" t="n">
        <f aca="false">L258*J258</f>
        <v>1053</v>
      </c>
      <c r="N258" s="4" t="n">
        <f aca="false">L258*I258</f>
        <v>585</v>
      </c>
      <c r="O258" s="4" t="n">
        <f aca="false">M258-N258</f>
        <v>468</v>
      </c>
      <c r="P258" s="5" t="n">
        <f aca="false">IFERROR(O258/M258,0)</f>
        <v>0.444444444444444</v>
      </c>
    </row>
    <row r="259" customFormat="false" ht="15" hidden="false" customHeight="true" outlineLevel="0" collapsed="false">
      <c r="A259" s="6" t="s">
        <v>62</v>
      </c>
      <c r="B259" s="6" t="s">
        <v>63</v>
      </c>
      <c r="C259" s="6" t="s">
        <v>64</v>
      </c>
      <c r="D259" s="6" t="s">
        <v>65</v>
      </c>
      <c r="E259" s="6" t="s">
        <v>52</v>
      </c>
      <c r="F259" s="6" t="s">
        <v>32</v>
      </c>
      <c r="G259" s="6" t="s">
        <v>33</v>
      </c>
      <c r="H259" s="6" t="s">
        <v>23</v>
      </c>
      <c r="I259" s="7" t="n">
        <v>2.5</v>
      </c>
      <c r="J259" s="7" t="n">
        <v>4.5</v>
      </c>
      <c r="K259" s="6" t="s">
        <v>29</v>
      </c>
      <c r="L259" s="6" t="n">
        <v>377</v>
      </c>
      <c r="M259" s="7" t="n">
        <f aca="false">L259*J259</f>
        <v>1696.5</v>
      </c>
      <c r="N259" s="7" t="n">
        <f aca="false">L259*I259</f>
        <v>942.5</v>
      </c>
      <c r="O259" s="7" t="n">
        <f aca="false">M259-N259</f>
        <v>754</v>
      </c>
      <c r="P259" s="8" t="n">
        <f aca="false">IFERROR(O259/M259,0)</f>
        <v>0.444444444444444</v>
      </c>
    </row>
    <row r="260" customFormat="false" ht="15" hidden="false" customHeight="true" outlineLevel="0" collapsed="false">
      <c r="A260" s="3" t="s">
        <v>62</v>
      </c>
      <c r="B260" s="3" t="s">
        <v>63</v>
      </c>
      <c r="C260" s="3" t="s">
        <v>64</v>
      </c>
      <c r="D260" s="3" t="s">
        <v>65</v>
      </c>
      <c r="E260" s="3" t="s">
        <v>52</v>
      </c>
      <c r="F260" s="3" t="s">
        <v>34</v>
      </c>
      <c r="G260" s="3" t="s">
        <v>35</v>
      </c>
      <c r="H260" s="3" t="s">
        <v>23</v>
      </c>
      <c r="I260" s="4" t="n">
        <v>6</v>
      </c>
      <c r="J260" s="4" t="n">
        <v>12.5</v>
      </c>
      <c r="K260" s="3" t="s">
        <v>24</v>
      </c>
      <c r="L260" s="3" t="n">
        <v>253</v>
      </c>
      <c r="M260" s="4" t="n">
        <f aca="false">L260*J260</f>
        <v>3162.5</v>
      </c>
      <c r="N260" s="4" t="n">
        <f aca="false">L260*I260</f>
        <v>1518</v>
      </c>
      <c r="O260" s="4" t="n">
        <f aca="false">M260-N260</f>
        <v>1644.5</v>
      </c>
      <c r="P260" s="5" t="n">
        <f aca="false">IFERROR(O260/M260,0)</f>
        <v>0.52</v>
      </c>
    </row>
    <row r="261" customFormat="false" ht="15" hidden="false" customHeight="true" outlineLevel="0" collapsed="false">
      <c r="A261" s="6" t="s">
        <v>62</v>
      </c>
      <c r="B261" s="6" t="s">
        <v>63</v>
      </c>
      <c r="C261" s="6" t="s">
        <v>64</v>
      </c>
      <c r="D261" s="6" t="s">
        <v>65</v>
      </c>
      <c r="E261" s="6" t="s">
        <v>52</v>
      </c>
      <c r="F261" s="6" t="s">
        <v>34</v>
      </c>
      <c r="G261" s="6" t="s">
        <v>35</v>
      </c>
      <c r="H261" s="6" t="s">
        <v>23</v>
      </c>
      <c r="I261" s="7" t="n">
        <v>6</v>
      </c>
      <c r="J261" s="7" t="n">
        <v>12.5</v>
      </c>
      <c r="K261" s="6" t="s">
        <v>25</v>
      </c>
      <c r="L261" s="6" t="n">
        <v>263</v>
      </c>
      <c r="M261" s="7" t="n">
        <f aca="false">L261*J261</f>
        <v>3287.5</v>
      </c>
      <c r="N261" s="7" t="n">
        <f aca="false">L261*I261</f>
        <v>1578</v>
      </c>
      <c r="O261" s="7" t="n">
        <f aca="false">M261-N261</f>
        <v>1709.5</v>
      </c>
      <c r="P261" s="8" t="n">
        <f aca="false">IFERROR(O261/M261,0)</f>
        <v>0.52</v>
      </c>
    </row>
    <row r="262" customFormat="false" ht="15" hidden="false" customHeight="true" outlineLevel="0" collapsed="false">
      <c r="A262" s="3" t="s">
        <v>62</v>
      </c>
      <c r="B262" s="3" t="s">
        <v>63</v>
      </c>
      <c r="C262" s="3" t="s">
        <v>64</v>
      </c>
      <c r="D262" s="3" t="s">
        <v>65</v>
      </c>
      <c r="E262" s="3" t="s">
        <v>52</v>
      </c>
      <c r="F262" s="3" t="s">
        <v>34</v>
      </c>
      <c r="G262" s="3" t="s">
        <v>35</v>
      </c>
      <c r="H262" s="3" t="s">
        <v>23</v>
      </c>
      <c r="I262" s="4" t="n">
        <v>6</v>
      </c>
      <c r="J262" s="4" t="n">
        <v>12.5</v>
      </c>
      <c r="K262" s="3" t="s">
        <v>26</v>
      </c>
      <c r="L262" s="3" t="n">
        <v>175</v>
      </c>
      <c r="M262" s="4" t="n">
        <f aca="false">L262*J262</f>
        <v>2187.5</v>
      </c>
      <c r="N262" s="4" t="n">
        <f aca="false">L262*I262</f>
        <v>1050</v>
      </c>
      <c r="O262" s="4" t="n">
        <f aca="false">M262-N262</f>
        <v>1137.5</v>
      </c>
      <c r="P262" s="5" t="n">
        <f aca="false">IFERROR(O262/M262,0)</f>
        <v>0.52</v>
      </c>
    </row>
    <row r="263" customFormat="false" ht="15" hidden="false" customHeight="true" outlineLevel="0" collapsed="false">
      <c r="A263" s="6" t="s">
        <v>62</v>
      </c>
      <c r="B263" s="6" t="s">
        <v>63</v>
      </c>
      <c r="C263" s="6" t="s">
        <v>64</v>
      </c>
      <c r="D263" s="6" t="s">
        <v>65</v>
      </c>
      <c r="E263" s="6" t="s">
        <v>52</v>
      </c>
      <c r="F263" s="6" t="s">
        <v>34</v>
      </c>
      <c r="G263" s="6" t="s">
        <v>35</v>
      </c>
      <c r="H263" s="6" t="s">
        <v>23</v>
      </c>
      <c r="I263" s="7" t="n">
        <v>6</v>
      </c>
      <c r="J263" s="7" t="n">
        <v>12.5</v>
      </c>
      <c r="K263" s="6" t="s">
        <v>27</v>
      </c>
      <c r="L263" s="6" t="n">
        <v>185</v>
      </c>
      <c r="M263" s="7" t="n">
        <f aca="false">L263*J263</f>
        <v>2312.5</v>
      </c>
      <c r="N263" s="7" t="n">
        <f aca="false">L263*I263</f>
        <v>1110</v>
      </c>
      <c r="O263" s="7" t="n">
        <f aca="false">M263-N263</f>
        <v>1202.5</v>
      </c>
      <c r="P263" s="8" t="n">
        <f aca="false">IFERROR(O263/M263,0)</f>
        <v>0.52</v>
      </c>
    </row>
    <row r="264" customFormat="false" ht="15" hidden="false" customHeight="true" outlineLevel="0" collapsed="false">
      <c r="A264" s="3" t="s">
        <v>62</v>
      </c>
      <c r="B264" s="3" t="s">
        <v>63</v>
      </c>
      <c r="C264" s="3" t="s">
        <v>64</v>
      </c>
      <c r="D264" s="3" t="s">
        <v>65</v>
      </c>
      <c r="E264" s="3" t="s">
        <v>52</v>
      </c>
      <c r="F264" s="3" t="s">
        <v>34</v>
      </c>
      <c r="G264" s="3" t="s">
        <v>35</v>
      </c>
      <c r="H264" s="3" t="s">
        <v>23</v>
      </c>
      <c r="I264" s="4" t="n">
        <v>6</v>
      </c>
      <c r="J264" s="4" t="n">
        <v>12.5</v>
      </c>
      <c r="K264" s="3" t="s">
        <v>28</v>
      </c>
      <c r="L264" s="3" t="n">
        <v>343</v>
      </c>
      <c r="M264" s="4" t="n">
        <f aca="false">L264*J264</f>
        <v>4287.5</v>
      </c>
      <c r="N264" s="4" t="n">
        <f aca="false">L264*I264</f>
        <v>2058</v>
      </c>
      <c r="O264" s="4" t="n">
        <f aca="false">M264-N264</f>
        <v>2229.5</v>
      </c>
      <c r="P264" s="5" t="n">
        <f aca="false">IFERROR(O264/M264,0)</f>
        <v>0.52</v>
      </c>
    </row>
    <row r="265" customFormat="false" ht="15" hidden="false" customHeight="true" outlineLevel="0" collapsed="false">
      <c r="A265" s="6" t="s">
        <v>62</v>
      </c>
      <c r="B265" s="6" t="s">
        <v>63</v>
      </c>
      <c r="C265" s="6" t="s">
        <v>64</v>
      </c>
      <c r="D265" s="6" t="s">
        <v>65</v>
      </c>
      <c r="E265" s="6" t="s">
        <v>52</v>
      </c>
      <c r="F265" s="6" t="s">
        <v>34</v>
      </c>
      <c r="G265" s="6" t="s">
        <v>35</v>
      </c>
      <c r="H265" s="6" t="s">
        <v>23</v>
      </c>
      <c r="I265" s="7" t="n">
        <v>6</v>
      </c>
      <c r="J265" s="7" t="n">
        <v>12.5</v>
      </c>
      <c r="K265" s="6" t="s">
        <v>29</v>
      </c>
      <c r="L265" s="6" t="n">
        <v>195</v>
      </c>
      <c r="M265" s="7" t="n">
        <f aca="false">L265*J265</f>
        <v>2437.5</v>
      </c>
      <c r="N265" s="7" t="n">
        <f aca="false">L265*I265</f>
        <v>1170</v>
      </c>
      <c r="O265" s="7" t="n">
        <f aca="false">M265-N265</f>
        <v>1267.5</v>
      </c>
      <c r="P265" s="8" t="n">
        <f aca="false">IFERROR(O265/M265,0)</f>
        <v>0.52</v>
      </c>
    </row>
    <row r="266" customFormat="false" ht="15" hidden="false" customHeight="true" outlineLevel="0" collapsed="false">
      <c r="A266" s="3" t="s">
        <v>62</v>
      </c>
      <c r="B266" s="3" t="s">
        <v>63</v>
      </c>
      <c r="C266" s="3" t="s">
        <v>64</v>
      </c>
      <c r="D266" s="3" t="s">
        <v>65</v>
      </c>
      <c r="E266" s="3" t="s">
        <v>52</v>
      </c>
      <c r="F266" s="3" t="s">
        <v>36</v>
      </c>
      <c r="G266" s="3" t="s">
        <v>37</v>
      </c>
      <c r="H266" s="3" t="s">
        <v>23</v>
      </c>
      <c r="I266" s="4" t="n">
        <v>4.5</v>
      </c>
      <c r="J266" s="4" t="n">
        <v>7</v>
      </c>
      <c r="K266" s="3" t="s">
        <v>24</v>
      </c>
      <c r="L266" s="3" t="n">
        <v>247</v>
      </c>
      <c r="M266" s="4" t="n">
        <f aca="false">L266*J266</f>
        <v>1729</v>
      </c>
      <c r="N266" s="4" t="n">
        <f aca="false">L266*I266</f>
        <v>1111.5</v>
      </c>
      <c r="O266" s="4" t="n">
        <f aca="false">M266-N266</f>
        <v>617.5</v>
      </c>
      <c r="P266" s="5" t="n">
        <f aca="false">IFERROR(O266/M266,0)</f>
        <v>0.357142857142857</v>
      </c>
    </row>
    <row r="267" customFormat="false" ht="15" hidden="false" customHeight="true" outlineLevel="0" collapsed="false">
      <c r="A267" s="6" t="s">
        <v>62</v>
      </c>
      <c r="B267" s="6" t="s">
        <v>63</v>
      </c>
      <c r="C267" s="6" t="s">
        <v>64</v>
      </c>
      <c r="D267" s="6" t="s">
        <v>65</v>
      </c>
      <c r="E267" s="6" t="s">
        <v>52</v>
      </c>
      <c r="F267" s="6" t="s">
        <v>36</v>
      </c>
      <c r="G267" s="6" t="s">
        <v>37</v>
      </c>
      <c r="H267" s="6" t="s">
        <v>23</v>
      </c>
      <c r="I267" s="7" t="n">
        <v>4.5</v>
      </c>
      <c r="J267" s="7" t="n">
        <v>7</v>
      </c>
      <c r="K267" s="6" t="s">
        <v>25</v>
      </c>
      <c r="L267" s="6" t="n">
        <v>164</v>
      </c>
      <c r="M267" s="7" t="n">
        <f aca="false">L267*J267</f>
        <v>1148</v>
      </c>
      <c r="N267" s="7" t="n">
        <f aca="false">L267*I267</f>
        <v>738</v>
      </c>
      <c r="O267" s="7" t="n">
        <f aca="false">M267-N267</f>
        <v>410</v>
      </c>
      <c r="P267" s="8" t="n">
        <f aca="false">IFERROR(O267/M267,0)</f>
        <v>0.357142857142857</v>
      </c>
    </row>
    <row r="268" customFormat="false" ht="15" hidden="false" customHeight="true" outlineLevel="0" collapsed="false">
      <c r="A268" s="3" t="s">
        <v>62</v>
      </c>
      <c r="B268" s="3" t="s">
        <v>63</v>
      </c>
      <c r="C268" s="3" t="s">
        <v>64</v>
      </c>
      <c r="D268" s="3" t="s">
        <v>65</v>
      </c>
      <c r="E268" s="3" t="s">
        <v>52</v>
      </c>
      <c r="F268" s="3" t="s">
        <v>36</v>
      </c>
      <c r="G268" s="3" t="s">
        <v>37</v>
      </c>
      <c r="H268" s="3" t="s">
        <v>23</v>
      </c>
      <c r="I268" s="4" t="n">
        <v>4.5</v>
      </c>
      <c r="J268" s="4" t="n">
        <v>7</v>
      </c>
      <c r="K268" s="3" t="s">
        <v>26</v>
      </c>
      <c r="L268" s="3" t="n">
        <v>185</v>
      </c>
      <c r="M268" s="4" t="n">
        <f aca="false">L268*J268</f>
        <v>1295</v>
      </c>
      <c r="N268" s="4" t="n">
        <f aca="false">L268*I268</f>
        <v>832.5</v>
      </c>
      <c r="O268" s="4" t="n">
        <f aca="false">M268-N268</f>
        <v>462.5</v>
      </c>
      <c r="P268" s="5" t="n">
        <f aca="false">IFERROR(O268/M268,0)</f>
        <v>0.357142857142857</v>
      </c>
    </row>
    <row r="269" customFormat="false" ht="15" hidden="false" customHeight="true" outlineLevel="0" collapsed="false">
      <c r="A269" s="6" t="s">
        <v>62</v>
      </c>
      <c r="B269" s="6" t="s">
        <v>63</v>
      </c>
      <c r="C269" s="6" t="s">
        <v>64</v>
      </c>
      <c r="D269" s="6" t="s">
        <v>65</v>
      </c>
      <c r="E269" s="6" t="s">
        <v>52</v>
      </c>
      <c r="F269" s="6" t="s">
        <v>36</v>
      </c>
      <c r="G269" s="6" t="s">
        <v>37</v>
      </c>
      <c r="H269" s="6" t="s">
        <v>23</v>
      </c>
      <c r="I269" s="7" t="n">
        <v>4.5</v>
      </c>
      <c r="J269" s="7" t="n">
        <v>7</v>
      </c>
      <c r="K269" s="6" t="s">
        <v>27</v>
      </c>
      <c r="L269" s="6" t="n">
        <v>209</v>
      </c>
      <c r="M269" s="7" t="n">
        <f aca="false">L269*J269</f>
        <v>1463</v>
      </c>
      <c r="N269" s="7" t="n">
        <f aca="false">L269*I269</f>
        <v>940.5</v>
      </c>
      <c r="O269" s="7" t="n">
        <f aca="false">M269-N269</f>
        <v>522.5</v>
      </c>
      <c r="P269" s="8" t="n">
        <f aca="false">IFERROR(O269/M269,0)</f>
        <v>0.357142857142857</v>
      </c>
    </row>
    <row r="270" customFormat="false" ht="15" hidden="false" customHeight="true" outlineLevel="0" collapsed="false">
      <c r="A270" s="3" t="s">
        <v>62</v>
      </c>
      <c r="B270" s="3" t="s">
        <v>63</v>
      </c>
      <c r="C270" s="3" t="s">
        <v>64</v>
      </c>
      <c r="D270" s="3" t="s">
        <v>65</v>
      </c>
      <c r="E270" s="3" t="s">
        <v>52</v>
      </c>
      <c r="F270" s="3" t="s">
        <v>36</v>
      </c>
      <c r="G270" s="3" t="s">
        <v>37</v>
      </c>
      <c r="H270" s="3" t="s">
        <v>23</v>
      </c>
      <c r="I270" s="4" t="n">
        <v>4.5</v>
      </c>
      <c r="J270" s="4" t="n">
        <v>7</v>
      </c>
      <c r="K270" s="3" t="s">
        <v>28</v>
      </c>
      <c r="L270" s="3" t="n">
        <v>79</v>
      </c>
      <c r="M270" s="4" t="n">
        <f aca="false">L270*J270</f>
        <v>553</v>
      </c>
      <c r="N270" s="4" t="n">
        <f aca="false">L270*I270</f>
        <v>355.5</v>
      </c>
      <c r="O270" s="4" t="n">
        <f aca="false">M270-N270</f>
        <v>197.5</v>
      </c>
      <c r="P270" s="5" t="n">
        <f aca="false">IFERROR(O270/M270,0)</f>
        <v>0.357142857142857</v>
      </c>
    </row>
    <row r="271" customFormat="false" ht="15" hidden="false" customHeight="true" outlineLevel="0" collapsed="false">
      <c r="A271" s="6" t="s">
        <v>62</v>
      </c>
      <c r="B271" s="6" t="s">
        <v>63</v>
      </c>
      <c r="C271" s="6" t="s">
        <v>64</v>
      </c>
      <c r="D271" s="6" t="s">
        <v>65</v>
      </c>
      <c r="E271" s="6" t="s">
        <v>52</v>
      </c>
      <c r="F271" s="6" t="s">
        <v>36</v>
      </c>
      <c r="G271" s="6" t="s">
        <v>37</v>
      </c>
      <c r="H271" s="6" t="s">
        <v>23</v>
      </c>
      <c r="I271" s="7" t="n">
        <v>4.5</v>
      </c>
      <c r="J271" s="7" t="n">
        <v>7</v>
      </c>
      <c r="K271" s="6" t="s">
        <v>29</v>
      </c>
      <c r="L271" s="6" t="n">
        <v>136</v>
      </c>
      <c r="M271" s="7" t="n">
        <f aca="false">L271*J271</f>
        <v>952</v>
      </c>
      <c r="N271" s="7" t="n">
        <f aca="false">L271*I271</f>
        <v>612</v>
      </c>
      <c r="O271" s="7" t="n">
        <f aca="false">M271-N271</f>
        <v>340</v>
      </c>
      <c r="P271" s="8" t="n">
        <f aca="false">IFERROR(O271/M271,0)</f>
        <v>0.357142857142857</v>
      </c>
    </row>
    <row r="272" customFormat="false" ht="15" hidden="false" customHeight="true" outlineLevel="0" collapsed="false">
      <c r="A272" s="3" t="s">
        <v>62</v>
      </c>
      <c r="B272" s="3" t="s">
        <v>63</v>
      </c>
      <c r="C272" s="3" t="s">
        <v>64</v>
      </c>
      <c r="D272" s="3" t="s">
        <v>65</v>
      </c>
      <c r="E272" s="3" t="s">
        <v>52</v>
      </c>
      <c r="F272" s="3" t="s">
        <v>38</v>
      </c>
      <c r="G272" s="3" t="s">
        <v>39</v>
      </c>
      <c r="H272" s="3" t="s">
        <v>23</v>
      </c>
      <c r="I272" s="4" t="n">
        <v>9.9</v>
      </c>
      <c r="J272" s="4" t="n">
        <v>18</v>
      </c>
      <c r="K272" s="3" t="s">
        <v>24</v>
      </c>
      <c r="L272" s="3" t="n">
        <v>220</v>
      </c>
      <c r="M272" s="4" t="n">
        <f aca="false">L272*J272</f>
        <v>3960</v>
      </c>
      <c r="N272" s="4" t="n">
        <f aca="false">L272*I272</f>
        <v>2178</v>
      </c>
      <c r="O272" s="4" t="n">
        <f aca="false">M272-N272</f>
        <v>1782</v>
      </c>
      <c r="P272" s="5" t="n">
        <f aca="false">IFERROR(O272/M272,0)</f>
        <v>0.45</v>
      </c>
    </row>
    <row r="273" customFormat="false" ht="15" hidden="false" customHeight="true" outlineLevel="0" collapsed="false">
      <c r="A273" s="6" t="s">
        <v>62</v>
      </c>
      <c r="B273" s="6" t="s">
        <v>63</v>
      </c>
      <c r="C273" s="6" t="s">
        <v>64</v>
      </c>
      <c r="D273" s="6" t="s">
        <v>65</v>
      </c>
      <c r="E273" s="6" t="s">
        <v>52</v>
      </c>
      <c r="F273" s="6" t="s">
        <v>38</v>
      </c>
      <c r="G273" s="6" t="s">
        <v>39</v>
      </c>
      <c r="H273" s="6" t="s">
        <v>23</v>
      </c>
      <c r="I273" s="7" t="n">
        <v>9.9</v>
      </c>
      <c r="J273" s="7" t="n">
        <v>18</v>
      </c>
      <c r="K273" s="6" t="s">
        <v>25</v>
      </c>
      <c r="L273" s="6" t="n">
        <v>124</v>
      </c>
      <c r="M273" s="7" t="n">
        <f aca="false">L273*J273</f>
        <v>2232</v>
      </c>
      <c r="N273" s="7" t="n">
        <f aca="false">L273*I273</f>
        <v>1227.6</v>
      </c>
      <c r="O273" s="7" t="n">
        <f aca="false">M273-N273</f>
        <v>1004.4</v>
      </c>
      <c r="P273" s="8" t="n">
        <f aca="false">IFERROR(O273/M273,0)</f>
        <v>0.45</v>
      </c>
    </row>
    <row r="274" customFormat="false" ht="15" hidden="false" customHeight="true" outlineLevel="0" collapsed="false">
      <c r="A274" s="3" t="s">
        <v>62</v>
      </c>
      <c r="B274" s="3" t="s">
        <v>63</v>
      </c>
      <c r="C274" s="3" t="s">
        <v>64</v>
      </c>
      <c r="D274" s="3" t="s">
        <v>65</v>
      </c>
      <c r="E274" s="3" t="s">
        <v>52</v>
      </c>
      <c r="F274" s="3" t="s">
        <v>38</v>
      </c>
      <c r="G274" s="3" t="s">
        <v>39</v>
      </c>
      <c r="H274" s="3" t="s">
        <v>23</v>
      </c>
      <c r="I274" s="4" t="n">
        <v>9.9</v>
      </c>
      <c r="J274" s="4" t="n">
        <v>18</v>
      </c>
      <c r="K274" s="3" t="s">
        <v>26</v>
      </c>
      <c r="L274" s="3" t="n">
        <v>269</v>
      </c>
      <c r="M274" s="4" t="n">
        <f aca="false">L274*J274</f>
        <v>4842</v>
      </c>
      <c r="N274" s="4" t="n">
        <f aca="false">L274*I274</f>
        <v>2663.1</v>
      </c>
      <c r="O274" s="4" t="n">
        <f aca="false">M274-N274</f>
        <v>2178.9</v>
      </c>
      <c r="P274" s="5" t="n">
        <f aca="false">IFERROR(O274/M274,0)</f>
        <v>0.45</v>
      </c>
    </row>
    <row r="275" customFormat="false" ht="15" hidden="false" customHeight="true" outlineLevel="0" collapsed="false">
      <c r="A275" s="6" t="s">
        <v>62</v>
      </c>
      <c r="B275" s="6" t="s">
        <v>63</v>
      </c>
      <c r="C275" s="6" t="s">
        <v>64</v>
      </c>
      <c r="D275" s="6" t="s">
        <v>65</v>
      </c>
      <c r="E275" s="6" t="s">
        <v>52</v>
      </c>
      <c r="F275" s="6" t="s">
        <v>38</v>
      </c>
      <c r="G275" s="6" t="s">
        <v>39</v>
      </c>
      <c r="H275" s="6" t="s">
        <v>23</v>
      </c>
      <c r="I275" s="7" t="n">
        <v>9.9</v>
      </c>
      <c r="J275" s="7" t="n">
        <v>18</v>
      </c>
      <c r="K275" s="6" t="s">
        <v>27</v>
      </c>
      <c r="L275" s="6" t="n">
        <v>215</v>
      </c>
      <c r="M275" s="7" t="n">
        <f aca="false">L275*J275</f>
        <v>3870</v>
      </c>
      <c r="N275" s="7" t="n">
        <f aca="false">L275*I275</f>
        <v>2128.5</v>
      </c>
      <c r="O275" s="7" t="n">
        <f aca="false">M275-N275</f>
        <v>1741.5</v>
      </c>
      <c r="P275" s="8" t="n">
        <f aca="false">IFERROR(O275/M275,0)</f>
        <v>0.45</v>
      </c>
    </row>
    <row r="276" customFormat="false" ht="15" hidden="false" customHeight="true" outlineLevel="0" collapsed="false">
      <c r="A276" s="3" t="s">
        <v>62</v>
      </c>
      <c r="B276" s="3" t="s">
        <v>63</v>
      </c>
      <c r="C276" s="3" t="s">
        <v>64</v>
      </c>
      <c r="D276" s="3" t="s">
        <v>65</v>
      </c>
      <c r="E276" s="3" t="s">
        <v>52</v>
      </c>
      <c r="F276" s="3" t="s">
        <v>38</v>
      </c>
      <c r="G276" s="3" t="s">
        <v>39</v>
      </c>
      <c r="H276" s="3" t="s">
        <v>23</v>
      </c>
      <c r="I276" s="4" t="n">
        <v>9.9</v>
      </c>
      <c r="J276" s="4" t="n">
        <v>18</v>
      </c>
      <c r="K276" s="3" t="s">
        <v>28</v>
      </c>
      <c r="L276" s="3" t="n">
        <v>324</v>
      </c>
      <c r="M276" s="4" t="n">
        <f aca="false">L276*J276</f>
        <v>5832</v>
      </c>
      <c r="N276" s="4" t="n">
        <f aca="false">L276*I276</f>
        <v>3207.6</v>
      </c>
      <c r="O276" s="4" t="n">
        <f aca="false">M276-N276</f>
        <v>2624.4</v>
      </c>
      <c r="P276" s="5" t="n">
        <f aca="false">IFERROR(O276/M276,0)</f>
        <v>0.45</v>
      </c>
    </row>
    <row r="277" customFormat="false" ht="15" hidden="false" customHeight="true" outlineLevel="0" collapsed="false">
      <c r="A277" s="6" t="s">
        <v>62</v>
      </c>
      <c r="B277" s="6" t="s">
        <v>63</v>
      </c>
      <c r="C277" s="6" t="s">
        <v>64</v>
      </c>
      <c r="D277" s="6" t="s">
        <v>65</v>
      </c>
      <c r="E277" s="6" t="s">
        <v>52</v>
      </c>
      <c r="F277" s="6" t="s">
        <v>38</v>
      </c>
      <c r="G277" s="6" t="s">
        <v>39</v>
      </c>
      <c r="H277" s="6" t="s">
        <v>23</v>
      </c>
      <c r="I277" s="7" t="n">
        <v>9.9</v>
      </c>
      <c r="J277" s="7" t="n">
        <v>18</v>
      </c>
      <c r="K277" s="6" t="s">
        <v>29</v>
      </c>
      <c r="L277" s="6" t="n">
        <v>75</v>
      </c>
      <c r="M277" s="7" t="n">
        <f aca="false">L277*J277</f>
        <v>1350</v>
      </c>
      <c r="N277" s="7" t="n">
        <f aca="false">L277*I277</f>
        <v>742.5</v>
      </c>
      <c r="O277" s="7" t="n">
        <f aca="false">M277-N277</f>
        <v>607.5</v>
      </c>
      <c r="P277" s="8" t="n">
        <f aca="false">IFERROR(O277/M277,0)</f>
        <v>0.45</v>
      </c>
    </row>
    <row r="278" customFormat="false" ht="15" hidden="false" customHeight="true" outlineLevel="0" collapsed="false">
      <c r="A278" s="3" t="s">
        <v>62</v>
      </c>
      <c r="B278" s="3" t="s">
        <v>63</v>
      </c>
      <c r="C278" s="3" t="s">
        <v>64</v>
      </c>
      <c r="D278" s="3" t="s">
        <v>65</v>
      </c>
      <c r="E278" s="3" t="s">
        <v>52</v>
      </c>
      <c r="F278" s="3" t="s">
        <v>40</v>
      </c>
      <c r="G278" s="3" t="s">
        <v>41</v>
      </c>
      <c r="H278" s="3" t="s">
        <v>42</v>
      </c>
      <c r="I278" s="4" t="n">
        <v>3.5</v>
      </c>
      <c r="J278" s="4" t="n">
        <v>6.5</v>
      </c>
      <c r="K278" s="3" t="s">
        <v>24</v>
      </c>
      <c r="L278" s="3" t="n">
        <v>247</v>
      </c>
      <c r="M278" s="4" t="n">
        <f aca="false">L278*J278</f>
        <v>1605.5</v>
      </c>
      <c r="N278" s="4" t="n">
        <f aca="false">L278*I278</f>
        <v>864.5</v>
      </c>
      <c r="O278" s="4" t="n">
        <f aca="false">M278-N278</f>
        <v>741</v>
      </c>
      <c r="P278" s="5" t="n">
        <f aca="false">IFERROR(O278/M278,0)</f>
        <v>0.461538461538462</v>
      </c>
    </row>
    <row r="279" customFormat="false" ht="15" hidden="false" customHeight="true" outlineLevel="0" collapsed="false">
      <c r="A279" s="6" t="s">
        <v>62</v>
      </c>
      <c r="B279" s="6" t="s">
        <v>63</v>
      </c>
      <c r="C279" s="6" t="s">
        <v>64</v>
      </c>
      <c r="D279" s="6" t="s">
        <v>65</v>
      </c>
      <c r="E279" s="6" t="s">
        <v>52</v>
      </c>
      <c r="F279" s="6" t="s">
        <v>40</v>
      </c>
      <c r="G279" s="6" t="s">
        <v>41</v>
      </c>
      <c r="H279" s="6" t="s">
        <v>42</v>
      </c>
      <c r="I279" s="7" t="n">
        <v>3.5</v>
      </c>
      <c r="J279" s="7" t="n">
        <v>6.5</v>
      </c>
      <c r="K279" s="6" t="s">
        <v>25</v>
      </c>
      <c r="L279" s="6" t="n">
        <v>46</v>
      </c>
      <c r="M279" s="7" t="n">
        <f aca="false">L279*J279</f>
        <v>299</v>
      </c>
      <c r="N279" s="7" t="n">
        <f aca="false">L279*I279</f>
        <v>161</v>
      </c>
      <c r="O279" s="7" t="n">
        <f aca="false">M279-N279</f>
        <v>138</v>
      </c>
      <c r="P279" s="8" t="n">
        <f aca="false">IFERROR(O279/M279,0)</f>
        <v>0.461538461538462</v>
      </c>
    </row>
    <row r="280" customFormat="false" ht="15" hidden="false" customHeight="true" outlineLevel="0" collapsed="false">
      <c r="A280" s="3" t="s">
        <v>62</v>
      </c>
      <c r="B280" s="3" t="s">
        <v>63</v>
      </c>
      <c r="C280" s="3" t="s">
        <v>64</v>
      </c>
      <c r="D280" s="3" t="s">
        <v>65</v>
      </c>
      <c r="E280" s="3" t="s">
        <v>52</v>
      </c>
      <c r="F280" s="3" t="s">
        <v>40</v>
      </c>
      <c r="G280" s="3" t="s">
        <v>41</v>
      </c>
      <c r="H280" s="3" t="s">
        <v>42</v>
      </c>
      <c r="I280" s="4" t="n">
        <v>3.5</v>
      </c>
      <c r="J280" s="4" t="n">
        <v>6.5</v>
      </c>
      <c r="K280" s="3" t="s">
        <v>26</v>
      </c>
      <c r="L280" s="3" t="n">
        <v>251</v>
      </c>
      <c r="M280" s="4" t="n">
        <f aca="false">L280*J280</f>
        <v>1631.5</v>
      </c>
      <c r="N280" s="4" t="n">
        <f aca="false">L280*I280</f>
        <v>878.5</v>
      </c>
      <c r="O280" s="4" t="n">
        <f aca="false">M280-N280</f>
        <v>753</v>
      </c>
      <c r="P280" s="5" t="n">
        <f aca="false">IFERROR(O280/M280,0)</f>
        <v>0.461538461538462</v>
      </c>
    </row>
    <row r="281" customFormat="false" ht="15" hidden="false" customHeight="true" outlineLevel="0" collapsed="false">
      <c r="A281" s="6" t="s">
        <v>62</v>
      </c>
      <c r="B281" s="6" t="s">
        <v>63</v>
      </c>
      <c r="C281" s="6" t="s">
        <v>64</v>
      </c>
      <c r="D281" s="6" t="s">
        <v>65</v>
      </c>
      <c r="E281" s="6" t="s">
        <v>52</v>
      </c>
      <c r="F281" s="6" t="s">
        <v>40</v>
      </c>
      <c r="G281" s="6" t="s">
        <v>41</v>
      </c>
      <c r="H281" s="6" t="s">
        <v>42</v>
      </c>
      <c r="I281" s="7" t="n">
        <v>3.5</v>
      </c>
      <c r="J281" s="7" t="n">
        <v>6.5</v>
      </c>
      <c r="K281" s="6" t="s">
        <v>27</v>
      </c>
      <c r="L281" s="6" t="n">
        <v>35</v>
      </c>
      <c r="M281" s="7" t="n">
        <f aca="false">L281*J281</f>
        <v>227.5</v>
      </c>
      <c r="N281" s="7" t="n">
        <f aca="false">L281*I281</f>
        <v>122.5</v>
      </c>
      <c r="O281" s="7" t="n">
        <f aca="false">M281-N281</f>
        <v>105</v>
      </c>
      <c r="P281" s="8" t="n">
        <f aca="false">IFERROR(O281/M281,0)</f>
        <v>0.461538461538462</v>
      </c>
    </row>
    <row r="282" customFormat="false" ht="15" hidden="false" customHeight="true" outlineLevel="0" collapsed="false">
      <c r="A282" s="3" t="s">
        <v>62</v>
      </c>
      <c r="B282" s="3" t="s">
        <v>63</v>
      </c>
      <c r="C282" s="3" t="s">
        <v>64</v>
      </c>
      <c r="D282" s="3" t="s">
        <v>65</v>
      </c>
      <c r="E282" s="3" t="s">
        <v>52</v>
      </c>
      <c r="F282" s="3" t="s">
        <v>40</v>
      </c>
      <c r="G282" s="3" t="s">
        <v>41</v>
      </c>
      <c r="H282" s="3" t="s">
        <v>42</v>
      </c>
      <c r="I282" s="4" t="n">
        <v>3.5</v>
      </c>
      <c r="J282" s="4" t="n">
        <v>6.5</v>
      </c>
      <c r="K282" s="3" t="s">
        <v>28</v>
      </c>
      <c r="L282" s="3" t="n">
        <v>220</v>
      </c>
      <c r="M282" s="4" t="n">
        <f aca="false">L282*J282</f>
        <v>1430</v>
      </c>
      <c r="N282" s="4" t="n">
        <f aca="false">L282*I282</f>
        <v>770</v>
      </c>
      <c r="O282" s="4" t="n">
        <f aca="false">M282-N282</f>
        <v>660</v>
      </c>
      <c r="P282" s="5" t="n">
        <f aca="false">IFERROR(O282/M282,0)</f>
        <v>0.461538461538462</v>
      </c>
    </row>
    <row r="283" customFormat="false" ht="15" hidden="false" customHeight="true" outlineLevel="0" collapsed="false">
      <c r="A283" s="6" t="s">
        <v>62</v>
      </c>
      <c r="B283" s="6" t="s">
        <v>63</v>
      </c>
      <c r="C283" s="6" t="s">
        <v>64</v>
      </c>
      <c r="D283" s="6" t="s">
        <v>65</v>
      </c>
      <c r="E283" s="6" t="s">
        <v>52</v>
      </c>
      <c r="F283" s="6" t="s">
        <v>40</v>
      </c>
      <c r="G283" s="6" t="s">
        <v>41</v>
      </c>
      <c r="H283" s="6" t="s">
        <v>42</v>
      </c>
      <c r="I283" s="7" t="n">
        <v>3.5</v>
      </c>
      <c r="J283" s="7" t="n">
        <v>6.5</v>
      </c>
      <c r="K283" s="6" t="s">
        <v>29</v>
      </c>
      <c r="L283" s="6" t="n">
        <v>324</v>
      </c>
      <c r="M283" s="7" t="n">
        <f aca="false">L283*J283</f>
        <v>2106</v>
      </c>
      <c r="N283" s="7" t="n">
        <f aca="false">L283*I283</f>
        <v>1134</v>
      </c>
      <c r="O283" s="7" t="n">
        <f aca="false">M283-N283</f>
        <v>972</v>
      </c>
      <c r="P283" s="8" t="n">
        <f aca="false">IFERROR(O283/M283,0)</f>
        <v>0.461538461538462</v>
      </c>
    </row>
    <row r="284" customFormat="false" ht="15" hidden="false" customHeight="true" outlineLevel="0" collapsed="false">
      <c r="A284" s="3" t="s">
        <v>62</v>
      </c>
      <c r="B284" s="3" t="s">
        <v>63</v>
      </c>
      <c r="C284" s="3" t="s">
        <v>64</v>
      </c>
      <c r="D284" s="3" t="s">
        <v>65</v>
      </c>
      <c r="E284" s="3" t="s">
        <v>52</v>
      </c>
      <c r="F284" s="3" t="s">
        <v>43</v>
      </c>
      <c r="G284" s="3" t="s">
        <v>44</v>
      </c>
      <c r="H284" s="3" t="s">
        <v>42</v>
      </c>
      <c r="I284" s="4" t="n">
        <v>2</v>
      </c>
      <c r="J284" s="4" t="n">
        <v>3.8</v>
      </c>
      <c r="K284" s="3" t="s">
        <v>24</v>
      </c>
      <c r="L284" s="3" t="n">
        <v>147</v>
      </c>
      <c r="M284" s="4" t="n">
        <f aca="false">L284*J284</f>
        <v>558.6</v>
      </c>
      <c r="N284" s="4" t="n">
        <f aca="false">L284*I284</f>
        <v>294</v>
      </c>
      <c r="O284" s="4" t="n">
        <f aca="false">M284-N284</f>
        <v>264.6</v>
      </c>
      <c r="P284" s="5" t="n">
        <f aca="false">IFERROR(O284/M284,0)</f>
        <v>0.473684210526316</v>
      </c>
    </row>
    <row r="285" customFormat="false" ht="15" hidden="false" customHeight="true" outlineLevel="0" collapsed="false">
      <c r="A285" s="6" t="s">
        <v>62</v>
      </c>
      <c r="B285" s="6" t="s">
        <v>63</v>
      </c>
      <c r="C285" s="6" t="s">
        <v>64</v>
      </c>
      <c r="D285" s="6" t="s">
        <v>65</v>
      </c>
      <c r="E285" s="6" t="s">
        <v>52</v>
      </c>
      <c r="F285" s="6" t="s">
        <v>43</v>
      </c>
      <c r="G285" s="6" t="s">
        <v>44</v>
      </c>
      <c r="H285" s="6" t="s">
        <v>42</v>
      </c>
      <c r="I285" s="7" t="n">
        <v>2</v>
      </c>
      <c r="J285" s="7" t="n">
        <v>3.8</v>
      </c>
      <c r="K285" s="6" t="s">
        <v>25</v>
      </c>
      <c r="L285" s="6" t="n">
        <v>132</v>
      </c>
      <c r="M285" s="7" t="n">
        <f aca="false">L285*J285</f>
        <v>501.6</v>
      </c>
      <c r="N285" s="7" t="n">
        <f aca="false">L285*I285</f>
        <v>264</v>
      </c>
      <c r="O285" s="7" t="n">
        <f aca="false">M285-N285</f>
        <v>237.6</v>
      </c>
      <c r="P285" s="8" t="n">
        <f aca="false">IFERROR(O285/M285,0)</f>
        <v>0.473684210526316</v>
      </c>
    </row>
    <row r="286" customFormat="false" ht="15" hidden="false" customHeight="true" outlineLevel="0" collapsed="false">
      <c r="A286" s="3" t="s">
        <v>62</v>
      </c>
      <c r="B286" s="3" t="s">
        <v>63</v>
      </c>
      <c r="C286" s="3" t="s">
        <v>64</v>
      </c>
      <c r="D286" s="3" t="s">
        <v>65</v>
      </c>
      <c r="E286" s="3" t="s">
        <v>52</v>
      </c>
      <c r="F286" s="3" t="s">
        <v>43</v>
      </c>
      <c r="G286" s="3" t="s">
        <v>44</v>
      </c>
      <c r="H286" s="3" t="s">
        <v>42</v>
      </c>
      <c r="I286" s="4" t="n">
        <v>2</v>
      </c>
      <c r="J286" s="4" t="n">
        <v>3.8</v>
      </c>
      <c r="K286" s="3" t="s">
        <v>26</v>
      </c>
      <c r="L286" s="3" t="n">
        <v>283</v>
      </c>
      <c r="M286" s="4" t="n">
        <f aca="false">L286*J286</f>
        <v>1075.4</v>
      </c>
      <c r="N286" s="4" t="n">
        <f aca="false">L286*I286</f>
        <v>566</v>
      </c>
      <c r="O286" s="4" t="n">
        <f aca="false">M286-N286</f>
        <v>509.4</v>
      </c>
      <c r="P286" s="5" t="n">
        <f aca="false">IFERROR(O286/M286,0)</f>
        <v>0.473684210526316</v>
      </c>
    </row>
    <row r="287" customFormat="false" ht="15" hidden="false" customHeight="true" outlineLevel="0" collapsed="false">
      <c r="A287" s="6" t="s">
        <v>62</v>
      </c>
      <c r="B287" s="6" t="s">
        <v>63</v>
      </c>
      <c r="C287" s="6" t="s">
        <v>64</v>
      </c>
      <c r="D287" s="6" t="s">
        <v>65</v>
      </c>
      <c r="E287" s="6" t="s">
        <v>52</v>
      </c>
      <c r="F287" s="6" t="s">
        <v>43</v>
      </c>
      <c r="G287" s="6" t="s">
        <v>44</v>
      </c>
      <c r="H287" s="6" t="s">
        <v>42</v>
      </c>
      <c r="I287" s="7" t="n">
        <v>2</v>
      </c>
      <c r="J287" s="7" t="n">
        <v>3.8</v>
      </c>
      <c r="K287" s="6" t="s">
        <v>27</v>
      </c>
      <c r="L287" s="6" t="n">
        <v>48</v>
      </c>
      <c r="M287" s="7" t="n">
        <f aca="false">L287*J287</f>
        <v>182.4</v>
      </c>
      <c r="N287" s="7" t="n">
        <f aca="false">L287*I287</f>
        <v>96</v>
      </c>
      <c r="O287" s="7" t="n">
        <f aca="false">M287-N287</f>
        <v>86.4</v>
      </c>
      <c r="P287" s="8" t="n">
        <f aca="false">IFERROR(O287/M287,0)</f>
        <v>0.473684210526316</v>
      </c>
    </row>
    <row r="288" customFormat="false" ht="15" hidden="false" customHeight="true" outlineLevel="0" collapsed="false">
      <c r="A288" s="3" t="s">
        <v>62</v>
      </c>
      <c r="B288" s="3" t="s">
        <v>63</v>
      </c>
      <c r="C288" s="3" t="s">
        <v>64</v>
      </c>
      <c r="D288" s="3" t="s">
        <v>65</v>
      </c>
      <c r="E288" s="3" t="s">
        <v>52</v>
      </c>
      <c r="F288" s="3" t="s">
        <v>43</v>
      </c>
      <c r="G288" s="3" t="s">
        <v>44</v>
      </c>
      <c r="H288" s="3" t="s">
        <v>42</v>
      </c>
      <c r="I288" s="4" t="n">
        <v>2</v>
      </c>
      <c r="J288" s="4" t="n">
        <v>3.8</v>
      </c>
      <c r="K288" s="3" t="s">
        <v>28</v>
      </c>
      <c r="L288" s="3" t="n">
        <v>244</v>
      </c>
      <c r="M288" s="4" t="n">
        <f aca="false">L288*J288</f>
        <v>927.2</v>
      </c>
      <c r="N288" s="4" t="n">
        <f aca="false">L288*I288</f>
        <v>488</v>
      </c>
      <c r="O288" s="4" t="n">
        <f aca="false">M288-N288</f>
        <v>439.2</v>
      </c>
      <c r="P288" s="5" t="n">
        <f aca="false">IFERROR(O288/M288,0)</f>
        <v>0.473684210526316</v>
      </c>
    </row>
    <row r="289" customFormat="false" ht="15" hidden="false" customHeight="true" outlineLevel="0" collapsed="false">
      <c r="A289" s="6" t="s">
        <v>62</v>
      </c>
      <c r="B289" s="6" t="s">
        <v>63</v>
      </c>
      <c r="C289" s="6" t="s">
        <v>64</v>
      </c>
      <c r="D289" s="6" t="s">
        <v>65</v>
      </c>
      <c r="E289" s="6" t="s">
        <v>52</v>
      </c>
      <c r="F289" s="6" t="s">
        <v>43</v>
      </c>
      <c r="G289" s="6" t="s">
        <v>44</v>
      </c>
      <c r="H289" s="6" t="s">
        <v>42</v>
      </c>
      <c r="I289" s="7" t="n">
        <v>2</v>
      </c>
      <c r="J289" s="7" t="n">
        <v>3.8</v>
      </c>
      <c r="K289" s="6" t="s">
        <v>29</v>
      </c>
      <c r="L289" s="6" t="n">
        <v>152</v>
      </c>
      <c r="M289" s="7" t="n">
        <f aca="false">L289*J289</f>
        <v>577.6</v>
      </c>
      <c r="N289" s="7" t="n">
        <f aca="false">L289*I289</f>
        <v>304</v>
      </c>
      <c r="O289" s="7" t="n">
        <f aca="false">M289-N289</f>
        <v>273.6</v>
      </c>
      <c r="P289" s="8" t="n">
        <f aca="false">IFERROR(O289/M289,0)</f>
        <v>0.473684210526316</v>
      </c>
    </row>
    <row r="290" customFormat="false" ht="15" hidden="false" customHeight="true" outlineLevel="0" collapsed="false">
      <c r="A290" s="3" t="s">
        <v>62</v>
      </c>
      <c r="B290" s="3" t="s">
        <v>63</v>
      </c>
      <c r="C290" s="3" t="s">
        <v>64</v>
      </c>
      <c r="D290" s="3" t="s">
        <v>65</v>
      </c>
      <c r="E290" s="3" t="s">
        <v>52</v>
      </c>
      <c r="F290" s="3" t="s">
        <v>45</v>
      </c>
      <c r="G290" s="3" t="s">
        <v>46</v>
      </c>
      <c r="H290" s="3" t="s">
        <v>42</v>
      </c>
      <c r="I290" s="4" t="n">
        <v>5</v>
      </c>
      <c r="J290" s="4" t="n">
        <v>10</v>
      </c>
      <c r="K290" s="3" t="s">
        <v>24</v>
      </c>
      <c r="L290" s="3" t="n">
        <v>104</v>
      </c>
      <c r="M290" s="4" t="n">
        <f aca="false">L290*J290</f>
        <v>1040</v>
      </c>
      <c r="N290" s="4" t="n">
        <f aca="false">L290*I290</f>
        <v>520</v>
      </c>
      <c r="O290" s="4" t="n">
        <f aca="false">M290-N290</f>
        <v>520</v>
      </c>
      <c r="P290" s="5" t="n">
        <f aca="false">IFERROR(O290/M290,0)</f>
        <v>0.5</v>
      </c>
    </row>
    <row r="291" customFormat="false" ht="15" hidden="false" customHeight="true" outlineLevel="0" collapsed="false">
      <c r="A291" s="6" t="s">
        <v>62</v>
      </c>
      <c r="B291" s="6" t="s">
        <v>63</v>
      </c>
      <c r="C291" s="6" t="s">
        <v>64</v>
      </c>
      <c r="D291" s="6" t="s">
        <v>65</v>
      </c>
      <c r="E291" s="6" t="s">
        <v>52</v>
      </c>
      <c r="F291" s="6" t="s">
        <v>45</v>
      </c>
      <c r="G291" s="6" t="s">
        <v>46</v>
      </c>
      <c r="H291" s="6" t="s">
        <v>42</v>
      </c>
      <c r="I291" s="7" t="n">
        <v>5</v>
      </c>
      <c r="J291" s="7" t="n">
        <v>10</v>
      </c>
      <c r="K291" s="6" t="s">
        <v>25</v>
      </c>
      <c r="L291" s="6" t="n">
        <v>42</v>
      </c>
      <c r="M291" s="7" t="n">
        <f aca="false">L291*J291</f>
        <v>420</v>
      </c>
      <c r="N291" s="7" t="n">
        <f aca="false">L291*I291</f>
        <v>210</v>
      </c>
      <c r="O291" s="7" t="n">
        <f aca="false">M291-N291</f>
        <v>210</v>
      </c>
      <c r="P291" s="8" t="n">
        <f aca="false">IFERROR(O291/M291,0)</f>
        <v>0.5</v>
      </c>
    </row>
    <row r="292" customFormat="false" ht="15" hidden="false" customHeight="true" outlineLevel="0" collapsed="false">
      <c r="A292" s="3" t="s">
        <v>62</v>
      </c>
      <c r="B292" s="3" t="s">
        <v>63</v>
      </c>
      <c r="C292" s="3" t="s">
        <v>64</v>
      </c>
      <c r="D292" s="3" t="s">
        <v>65</v>
      </c>
      <c r="E292" s="3" t="s">
        <v>52</v>
      </c>
      <c r="F292" s="3" t="s">
        <v>45</v>
      </c>
      <c r="G292" s="3" t="s">
        <v>46</v>
      </c>
      <c r="H292" s="3" t="s">
        <v>42</v>
      </c>
      <c r="I292" s="4" t="n">
        <v>5</v>
      </c>
      <c r="J292" s="4" t="n">
        <v>10</v>
      </c>
      <c r="K292" s="3" t="s">
        <v>26</v>
      </c>
      <c r="L292" s="3" t="n">
        <v>39</v>
      </c>
      <c r="M292" s="4" t="n">
        <f aca="false">L292*J292</f>
        <v>390</v>
      </c>
      <c r="N292" s="4" t="n">
        <f aca="false">L292*I292</f>
        <v>195</v>
      </c>
      <c r="O292" s="4" t="n">
        <f aca="false">M292-N292</f>
        <v>195</v>
      </c>
      <c r="P292" s="5" t="n">
        <f aca="false">IFERROR(O292/M292,0)</f>
        <v>0.5</v>
      </c>
    </row>
    <row r="293" customFormat="false" ht="15" hidden="false" customHeight="true" outlineLevel="0" collapsed="false">
      <c r="A293" s="6" t="s">
        <v>62</v>
      </c>
      <c r="B293" s="6" t="s">
        <v>63</v>
      </c>
      <c r="C293" s="6" t="s">
        <v>64</v>
      </c>
      <c r="D293" s="6" t="s">
        <v>65</v>
      </c>
      <c r="E293" s="6" t="s">
        <v>52</v>
      </c>
      <c r="F293" s="6" t="s">
        <v>45</v>
      </c>
      <c r="G293" s="6" t="s">
        <v>46</v>
      </c>
      <c r="H293" s="6" t="s">
        <v>42</v>
      </c>
      <c r="I293" s="7" t="n">
        <v>5</v>
      </c>
      <c r="J293" s="7" t="n">
        <v>10</v>
      </c>
      <c r="K293" s="6" t="s">
        <v>27</v>
      </c>
      <c r="L293" s="6" t="n">
        <v>255</v>
      </c>
      <c r="M293" s="7" t="n">
        <f aca="false">L293*J293</f>
        <v>2550</v>
      </c>
      <c r="N293" s="7" t="n">
        <f aca="false">L293*I293</f>
        <v>1275</v>
      </c>
      <c r="O293" s="7" t="n">
        <f aca="false">M293-N293</f>
        <v>1275</v>
      </c>
      <c r="P293" s="8" t="n">
        <f aca="false">IFERROR(O293/M293,0)</f>
        <v>0.5</v>
      </c>
    </row>
    <row r="294" customFormat="false" ht="15" hidden="false" customHeight="true" outlineLevel="0" collapsed="false">
      <c r="A294" s="3" t="s">
        <v>62</v>
      </c>
      <c r="B294" s="3" t="s">
        <v>63</v>
      </c>
      <c r="C294" s="3" t="s">
        <v>64</v>
      </c>
      <c r="D294" s="3" t="s">
        <v>65</v>
      </c>
      <c r="E294" s="3" t="s">
        <v>52</v>
      </c>
      <c r="F294" s="3" t="s">
        <v>45</v>
      </c>
      <c r="G294" s="3" t="s">
        <v>46</v>
      </c>
      <c r="H294" s="3" t="s">
        <v>42</v>
      </c>
      <c r="I294" s="4" t="n">
        <v>5</v>
      </c>
      <c r="J294" s="4" t="n">
        <v>10</v>
      </c>
      <c r="K294" s="3" t="s">
        <v>28</v>
      </c>
      <c r="L294" s="3" t="n">
        <v>314</v>
      </c>
      <c r="M294" s="4" t="n">
        <f aca="false">L294*J294</f>
        <v>3140</v>
      </c>
      <c r="N294" s="4" t="n">
        <f aca="false">L294*I294</f>
        <v>1570</v>
      </c>
      <c r="O294" s="4" t="n">
        <f aca="false">M294-N294</f>
        <v>1570</v>
      </c>
      <c r="P294" s="5" t="n">
        <f aca="false">IFERROR(O294/M294,0)</f>
        <v>0.5</v>
      </c>
    </row>
    <row r="295" customFormat="false" ht="15" hidden="false" customHeight="true" outlineLevel="0" collapsed="false">
      <c r="A295" s="6" t="s">
        <v>62</v>
      </c>
      <c r="B295" s="6" t="s">
        <v>63</v>
      </c>
      <c r="C295" s="6" t="s">
        <v>64</v>
      </c>
      <c r="D295" s="6" t="s">
        <v>65</v>
      </c>
      <c r="E295" s="6" t="s">
        <v>52</v>
      </c>
      <c r="F295" s="6" t="s">
        <v>45</v>
      </c>
      <c r="G295" s="6" t="s">
        <v>46</v>
      </c>
      <c r="H295" s="6" t="s">
        <v>42</v>
      </c>
      <c r="I295" s="7" t="n">
        <v>5</v>
      </c>
      <c r="J295" s="7" t="n">
        <v>10</v>
      </c>
      <c r="K295" s="6" t="s">
        <v>29</v>
      </c>
      <c r="L295" s="6" t="n">
        <v>69</v>
      </c>
      <c r="M295" s="7" t="n">
        <f aca="false">L295*J295</f>
        <v>690</v>
      </c>
      <c r="N295" s="7" t="n">
        <f aca="false">L295*I295</f>
        <v>345</v>
      </c>
      <c r="O295" s="7" t="n">
        <f aca="false">M295-N295</f>
        <v>345</v>
      </c>
      <c r="P295" s="8" t="n">
        <f aca="false">IFERROR(O295/M295,0)</f>
        <v>0.5</v>
      </c>
    </row>
    <row r="296" customFormat="false" ht="15" hidden="false" customHeight="true" outlineLevel="0" collapsed="false">
      <c r="A296" s="3" t="s">
        <v>62</v>
      </c>
      <c r="B296" s="3" t="s">
        <v>63</v>
      </c>
      <c r="C296" s="3" t="s">
        <v>64</v>
      </c>
      <c r="D296" s="3" t="s">
        <v>65</v>
      </c>
      <c r="E296" s="3" t="s">
        <v>52</v>
      </c>
      <c r="F296" s="3" t="s">
        <v>47</v>
      </c>
      <c r="G296" s="3" t="s">
        <v>48</v>
      </c>
      <c r="H296" s="3" t="s">
        <v>42</v>
      </c>
      <c r="I296" s="4" t="n">
        <v>2.8</v>
      </c>
      <c r="J296" s="4" t="n">
        <v>5.5</v>
      </c>
      <c r="K296" s="3" t="s">
        <v>24</v>
      </c>
      <c r="L296" s="3" t="n">
        <v>224</v>
      </c>
      <c r="M296" s="4" t="n">
        <f aca="false">L296*J296</f>
        <v>1232</v>
      </c>
      <c r="N296" s="4" t="n">
        <f aca="false">L296*I296</f>
        <v>627.2</v>
      </c>
      <c r="O296" s="4" t="n">
        <f aca="false">M296-N296</f>
        <v>604.8</v>
      </c>
      <c r="P296" s="5" t="n">
        <f aca="false">IFERROR(O296/M296,0)</f>
        <v>0.490909090909091</v>
      </c>
    </row>
    <row r="297" customFormat="false" ht="15" hidden="false" customHeight="true" outlineLevel="0" collapsed="false">
      <c r="A297" s="6" t="s">
        <v>62</v>
      </c>
      <c r="B297" s="6" t="s">
        <v>63</v>
      </c>
      <c r="C297" s="6" t="s">
        <v>64</v>
      </c>
      <c r="D297" s="6" t="s">
        <v>65</v>
      </c>
      <c r="E297" s="6" t="s">
        <v>52</v>
      </c>
      <c r="F297" s="6" t="s">
        <v>47</v>
      </c>
      <c r="G297" s="6" t="s">
        <v>48</v>
      </c>
      <c r="H297" s="6" t="s">
        <v>42</v>
      </c>
      <c r="I297" s="7" t="n">
        <v>2.8</v>
      </c>
      <c r="J297" s="7" t="n">
        <v>5.5</v>
      </c>
      <c r="K297" s="6" t="s">
        <v>25</v>
      </c>
      <c r="L297" s="6" t="n">
        <v>135</v>
      </c>
      <c r="M297" s="7" t="n">
        <f aca="false">L297*J297</f>
        <v>742.5</v>
      </c>
      <c r="N297" s="7" t="n">
        <f aca="false">L297*I297</f>
        <v>378</v>
      </c>
      <c r="O297" s="7" t="n">
        <f aca="false">M297-N297</f>
        <v>364.5</v>
      </c>
      <c r="P297" s="8" t="n">
        <f aca="false">IFERROR(O297/M297,0)</f>
        <v>0.490909090909091</v>
      </c>
    </row>
    <row r="298" customFormat="false" ht="15" hidden="false" customHeight="true" outlineLevel="0" collapsed="false">
      <c r="A298" s="3" t="s">
        <v>62</v>
      </c>
      <c r="B298" s="3" t="s">
        <v>63</v>
      </c>
      <c r="C298" s="3" t="s">
        <v>64</v>
      </c>
      <c r="D298" s="3" t="s">
        <v>65</v>
      </c>
      <c r="E298" s="3" t="s">
        <v>52</v>
      </c>
      <c r="F298" s="3" t="s">
        <v>47</v>
      </c>
      <c r="G298" s="3" t="s">
        <v>48</v>
      </c>
      <c r="H298" s="3" t="s">
        <v>42</v>
      </c>
      <c r="I298" s="4" t="n">
        <v>2.8</v>
      </c>
      <c r="J298" s="4" t="n">
        <v>5.5</v>
      </c>
      <c r="K298" s="3" t="s">
        <v>26</v>
      </c>
      <c r="L298" s="3" t="n">
        <v>216</v>
      </c>
      <c r="M298" s="4" t="n">
        <f aca="false">L298*J298</f>
        <v>1188</v>
      </c>
      <c r="N298" s="4" t="n">
        <f aca="false">L298*I298</f>
        <v>604.8</v>
      </c>
      <c r="O298" s="4" t="n">
        <f aca="false">M298-N298</f>
        <v>583.2</v>
      </c>
      <c r="P298" s="5" t="n">
        <f aca="false">IFERROR(O298/M298,0)</f>
        <v>0.490909090909091</v>
      </c>
    </row>
    <row r="299" customFormat="false" ht="15" hidden="false" customHeight="true" outlineLevel="0" collapsed="false">
      <c r="A299" s="6" t="s">
        <v>62</v>
      </c>
      <c r="B299" s="6" t="s">
        <v>63</v>
      </c>
      <c r="C299" s="6" t="s">
        <v>64</v>
      </c>
      <c r="D299" s="6" t="s">
        <v>65</v>
      </c>
      <c r="E299" s="6" t="s">
        <v>52</v>
      </c>
      <c r="F299" s="6" t="s">
        <v>47</v>
      </c>
      <c r="G299" s="6" t="s">
        <v>48</v>
      </c>
      <c r="H299" s="6" t="s">
        <v>42</v>
      </c>
      <c r="I299" s="7" t="n">
        <v>2.8</v>
      </c>
      <c r="J299" s="7" t="n">
        <v>5.5</v>
      </c>
      <c r="K299" s="6" t="s">
        <v>27</v>
      </c>
      <c r="L299" s="6" t="n">
        <v>233</v>
      </c>
      <c r="M299" s="7" t="n">
        <f aca="false">L299*J299</f>
        <v>1281.5</v>
      </c>
      <c r="N299" s="7" t="n">
        <f aca="false">L299*I299</f>
        <v>652.4</v>
      </c>
      <c r="O299" s="7" t="n">
        <f aca="false">M299-N299</f>
        <v>629.1</v>
      </c>
      <c r="P299" s="8" t="n">
        <f aca="false">IFERROR(O299/M299,0)</f>
        <v>0.490909090909091</v>
      </c>
    </row>
    <row r="300" customFormat="false" ht="15" hidden="false" customHeight="true" outlineLevel="0" collapsed="false">
      <c r="A300" s="3" t="s">
        <v>62</v>
      </c>
      <c r="B300" s="3" t="s">
        <v>63</v>
      </c>
      <c r="C300" s="3" t="s">
        <v>64</v>
      </c>
      <c r="D300" s="3" t="s">
        <v>65</v>
      </c>
      <c r="E300" s="3" t="s">
        <v>52</v>
      </c>
      <c r="F300" s="3" t="s">
        <v>47</v>
      </c>
      <c r="G300" s="3" t="s">
        <v>48</v>
      </c>
      <c r="H300" s="3" t="s">
        <v>42</v>
      </c>
      <c r="I300" s="4" t="n">
        <v>2.8</v>
      </c>
      <c r="J300" s="4" t="n">
        <v>5.5</v>
      </c>
      <c r="K300" s="3" t="s">
        <v>28</v>
      </c>
      <c r="L300" s="3" t="n">
        <v>292</v>
      </c>
      <c r="M300" s="4" t="n">
        <f aca="false">L300*J300</f>
        <v>1606</v>
      </c>
      <c r="N300" s="4" t="n">
        <f aca="false">L300*I300</f>
        <v>817.6</v>
      </c>
      <c r="O300" s="4" t="n">
        <f aca="false">M300-N300</f>
        <v>788.4</v>
      </c>
      <c r="P300" s="5" t="n">
        <f aca="false">IFERROR(O300/M300,0)</f>
        <v>0.490909090909091</v>
      </c>
    </row>
    <row r="301" customFormat="false" ht="15" hidden="false" customHeight="true" outlineLevel="0" collapsed="false">
      <c r="A301" s="6" t="s">
        <v>62</v>
      </c>
      <c r="B301" s="6" t="s">
        <v>63</v>
      </c>
      <c r="C301" s="6" t="s">
        <v>64</v>
      </c>
      <c r="D301" s="6" t="s">
        <v>65</v>
      </c>
      <c r="E301" s="6" t="s">
        <v>52</v>
      </c>
      <c r="F301" s="6" t="s">
        <v>47</v>
      </c>
      <c r="G301" s="6" t="s">
        <v>48</v>
      </c>
      <c r="H301" s="6" t="s">
        <v>42</v>
      </c>
      <c r="I301" s="7" t="n">
        <v>2.8</v>
      </c>
      <c r="J301" s="7" t="n">
        <v>5.5</v>
      </c>
      <c r="K301" s="6" t="s">
        <v>29</v>
      </c>
      <c r="L301" s="6" t="n">
        <v>97</v>
      </c>
      <c r="M301" s="7" t="n">
        <f aca="false">L301*J301</f>
        <v>533.5</v>
      </c>
      <c r="N301" s="7" t="n">
        <f aca="false">L301*I301</f>
        <v>271.6</v>
      </c>
      <c r="O301" s="7" t="n">
        <f aca="false">M301-N301</f>
        <v>261.9</v>
      </c>
      <c r="P301" s="8" t="n">
        <f aca="false">IFERROR(O301/M301,0)</f>
        <v>0.490909090909091</v>
      </c>
    </row>
    <row r="302" customFormat="false" ht="15" hidden="false" customHeight="true" outlineLevel="0" collapsed="false">
      <c r="A302" s="3" t="s">
        <v>66</v>
      </c>
      <c r="B302" s="3" t="s">
        <v>67</v>
      </c>
      <c r="C302" s="3" t="s">
        <v>18</v>
      </c>
      <c r="D302" s="3" t="s">
        <v>68</v>
      </c>
      <c r="E302" s="3" t="s">
        <v>20</v>
      </c>
      <c r="F302" s="3" t="s">
        <v>21</v>
      </c>
      <c r="G302" s="3" t="s">
        <v>22</v>
      </c>
      <c r="H302" s="3" t="s">
        <v>23</v>
      </c>
      <c r="I302" s="4" t="n">
        <v>8.99</v>
      </c>
      <c r="J302" s="4" t="n">
        <v>22</v>
      </c>
      <c r="K302" s="3" t="s">
        <v>24</v>
      </c>
      <c r="L302" s="3" t="n">
        <v>46</v>
      </c>
      <c r="M302" s="4" t="n">
        <f aca="false">L302*J302</f>
        <v>1012</v>
      </c>
      <c r="N302" s="4" t="n">
        <f aca="false">L302*I302</f>
        <v>413.54</v>
      </c>
      <c r="O302" s="4" t="n">
        <f aca="false">M302-N302</f>
        <v>598.46</v>
      </c>
      <c r="P302" s="5" t="n">
        <f aca="false">IFERROR(O302/M302,0)</f>
        <v>0.591363636363636</v>
      </c>
    </row>
    <row r="303" customFormat="false" ht="15" hidden="false" customHeight="true" outlineLevel="0" collapsed="false">
      <c r="A303" s="6" t="s">
        <v>66</v>
      </c>
      <c r="B303" s="6" t="s">
        <v>67</v>
      </c>
      <c r="C303" s="6" t="s">
        <v>18</v>
      </c>
      <c r="D303" s="6" t="s">
        <v>68</v>
      </c>
      <c r="E303" s="6" t="s">
        <v>20</v>
      </c>
      <c r="F303" s="6" t="s">
        <v>21</v>
      </c>
      <c r="G303" s="6" t="s">
        <v>22</v>
      </c>
      <c r="H303" s="6" t="s">
        <v>23</v>
      </c>
      <c r="I303" s="7" t="n">
        <v>8.99</v>
      </c>
      <c r="J303" s="7" t="n">
        <v>22</v>
      </c>
      <c r="K303" s="6" t="s">
        <v>25</v>
      </c>
      <c r="L303" s="6" t="n">
        <v>54</v>
      </c>
      <c r="M303" s="7" t="n">
        <f aca="false">L303*J303</f>
        <v>1188</v>
      </c>
      <c r="N303" s="7" t="n">
        <f aca="false">L303*I303</f>
        <v>485.46</v>
      </c>
      <c r="O303" s="7" t="n">
        <f aca="false">M303-N303</f>
        <v>702.54</v>
      </c>
      <c r="P303" s="8" t="n">
        <f aca="false">IFERROR(O303/M303,0)</f>
        <v>0.591363636363636</v>
      </c>
    </row>
    <row r="304" customFormat="false" ht="15" hidden="false" customHeight="true" outlineLevel="0" collapsed="false">
      <c r="A304" s="3" t="s">
        <v>66</v>
      </c>
      <c r="B304" s="3" t="s">
        <v>67</v>
      </c>
      <c r="C304" s="3" t="s">
        <v>18</v>
      </c>
      <c r="D304" s="3" t="s">
        <v>68</v>
      </c>
      <c r="E304" s="3" t="s">
        <v>20</v>
      </c>
      <c r="F304" s="3" t="s">
        <v>21</v>
      </c>
      <c r="G304" s="3" t="s">
        <v>22</v>
      </c>
      <c r="H304" s="3" t="s">
        <v>23</v>
      </c>
      <c r="I304" s="4" t="n">
        <v>8.99</v>
      </c>
      <c r="J304" s="4" t="n">
        <v>22</v>
      </c>
      <c r="K304" s="3" t="s">
        <v>26</v>
      </c>
      <c r="L304" s="3" t="n">
        <v>168</v>
      </c>
      <c r="M304" s="4" t="n">
        <f aca="false">L304*J304</f>
        <v>3696</v>
      </c>
      <c r="N304" s="4" t="n">
        <f aca="false">L304*I304</f>
        <v>1510.32</v>
      </c>
      <c r="O304" s="4" t="n">
        <f aca="false">M304-N304</f>
        <v>2185.68</v>
      </c>
      <c r="P304" s="5" t="n">
        <f aca="false">IFERROR(O304/M304,0)</f>
        <v>0.591363636363636</v>
      </c>
    </row>
    <row r="305" customFormat="false" ht="15" hidden="false" customHeight="true" outlineLevel="0" collapsed="false">
      <c r="A305" s="6" t="s">
        <v>66</v>
      </c>
      <c r="B305" s="6" t="s">
        <v>67</v>
      </c>
      <c r="C305" s="6" t="s">
        <v>18</v>
      </c>
      <c r="D305" s="6" t="s">
        <v>68</v>
      </c>
      <c r="E305" s="6" t="s">
        <v>20</v>
      </c>
      <c r="F305" s="6" t="s">
        <v>21</v>
      </c>
      <c r="G305" s="6" t="s">
        <v>22</v>
      </c>
      <c r="H305" s="6" t="s">
        <v>23</v>
      </c>
      <c r="I305" s="7" t="n">
        <v>8.99</v>
      </c>
      <c r="J305" s="7" t="n">
        <v>22</v>
      </c>
      <c r="K305" s="6" t="s">
        <v>27</v>
      </c>
      <c r="L305" s="6" t="n">
        <v>78</v>
      </c>
      <c r="M305" s="7" t="n">
        <f aca="false">L305*J305</f>
        <v>1716</v>
      </c>
      <c r="N305" s="7" t="n">
        <f aca="false">L305*I305</f>
        <v>701.22</v>
      </c>
      <c r="O305" s="7" t="n">
        <f aca="false">M305-N305</f>
        <v>1014.78</v>
      </c>
      <c r="P305" s="8" t="n">
        <f aca="false">IFERROR(O305/M305,0)</f>
        <v>0.591363636363636</v>
      </c>
    </row>
    <row r="306" customFormat="false" ht="15" hidden="false" customHeight="true" outlineLevel="0" collapsed="false">
      <c r="A306" s="3" t="s">
        <v>66</v>
      </c>
      <c r="B306" s="3" t="s">
        <v>67</v>
      </c>
      <c r="C306" s="3" t="s">
        <v>18</v>
      </c>
      <c r="D306" s="3" t="s">
        <v>68</v>
      </c>
      <c r="E306" s="3" t="s">
        <v>20</v>
      </c>
      <c r="F306" s="3" t="s">
        <v>21</v>
      </c>
      <c r="G306" s="3" t="s">
        <v>22</v>
      </c>
      <c r="H306" s="3" t="s">
        <v>23</v>
      </c>
      <c r="I306" s="4" t="n">
        <v>8.99</v>
      </c>
      <c r="J306" s="4" t="n">
        <v>22</v>
      </c>
      <c r="K306" s="3" t="s">
        <v>28</v>
      </c>
      <c r="L306" s="3" t="n">
        <v>50</v>
      </c>
      <c r="M306" s="4" t="n">
        <f aca="false">L306*J306</f>
        <v>1100</v>
      </c>
      <c r="N306" s="4" t="n">
        <f aca="false">L306*I306</f>
        <v>449.5</v>
      </c>
      <c r="O306" s="4" t="n">
        <f aca="false">M306-N306</f>
        <v>650.5</v>
      </c>
      <c r="P306" s="5" t="n">
        <f aca="false">IFERROR(O306/M306,0)</f>
        <v>0.591363636363636</v>
      </c>
    </row>
    <row r="307" customFormat="false" ht="15" hidden="false" customHeight="true" outlineLevel="0" collapsed="false">
      <c r="A307" s="6" t="s">
        <v>66</v>
      </c>
      <c r="B307" s="6" t="s">
        <v>67</v>
      </c>
      <c r="C307" s="6" t="s">
        <v>18</v>
      </c>
      <c r="D307" s="6" t="s">
        <v>68</v>
      </c>
      <c r="E307" s="6" t="s">
        <v>20</v>
      </c>
      <c r="F307" s="6" t="s">
        <v>21</v>
      </c>
      <c r="G307" s="6" t="s">
        <v>22</v>
      </c>
      <c r="H307" s="6" t="s">
        <v>23</v>
      </c>
      <c r="I307" s="7" t="n">
        <v>8.99</v>
      </c>
      <c r="J307" s="7" t="n">
        <v>22</v>
      </c>
      <c r="K307" s="6" t="s">
        <v>29</v>
      </c>
      <c r="L307" s="6" t="n">
        <v>198</v>
      </c>
      <c r="M307" s="7" t="n">
        <f aca="false">L307*J307</f>
        <v>4356</v>
      </c>
      <c r="N307" s="7" t="n">
        <f aca="false">L307*I307</f>
        <v>1780.02</v>
      </c>
      <c r="O307" s="7" t="n">
        <f aca="false">M307-N307</f>
        <v>2575.98</v>
      </c>
      <c r="P307" s="8" t="n">
        <f aca="false">IFERROR(O307/M307,0)</f>
        <v>0.591363636363636</v>
      </c>
    </row>
    <row r="308" customFormat="false" ht="15" hidden="false" customHeight="true" outlineLevel="0" collapsed="false">
      <c r="A308" s="3" t="s">
        <v>66</v>
      </c>
      <c r="B308" s="3" t="s">
        <v>67</v>
      </c>
      <c r="C308" s="3" t="s">
        <v>18</v>
      </c>
      <c r="D308" s="3" t="s">
        <v>68</v>
      </c>
      <c r="E308" s="3" t="s">
        <v>20</v>
      </c>
      <c r="F308" s="3" t="s">
        <v>30</v>
      </c>
      <c r="G308" s="3" t="s">
        <v>31</v>
      </c>
      <c r="H308" s="3" t="s">
        <v>23</v>
      </c>
      <c r="I308" s="4" t="n">
        <v>8.5</v>
      </c>
      <c r="J308" s="4" t="n">
        <v>21</v>
      </c>
      <c r="K308" s="3" t="s">
        <v>24</v>
      </c>
      <c r="L308" s="3" t="n">
        <v>49</v>
      </c>
      <c r="M308" s="4" t="n">
        <f aca="false">L308*J308</f>
        <v>1029</v>
      </c>
      <c r="N308" s="4" t="n">
        <f aca="false">L308*I308</f>
        <v>416.5</v>
      </c>
      <c r="O308" s="4" t="n">
        <f aca="false">M308-N308</f>
        <v>612.5</v>
      </c>
      <c r="P308" s="5" t="n">
        <f aca="false">IFERROR(O308/M308,0)</f>
        <v>0.595238095238095</v>
      </c>
    </row>
    <row r="309" customFormat="false" ht="15" hidden="false" customHeight="true" outlineLevel="0" collapsed="false">
      <c r="A309" s="6" t="s">
        <v>66</v>
      </c>
      <c r="B309" s="6" t="s">
        <v>67</v>
      </c>
      <c r="C309" s="6" t="s">
        <v>18</v>
      </c>
      <c r="D309" s="6" t="s">
        <v>68</v>
      </c>
      <c r="E309" s="6" t="s">
        <v>20</v>
      </c>
      <c r="F309" s="6" t="s">
        <v>30</v>
      </c>
      <c r="G309" s="6" t="s">
        <v>31</v>
      </c>
      <c r="H309" s="6" t="s">
        <v>23</v>
      </c>
      <c r="I309" s="7" t="n">
        <v>8.5</v>
      </c>
      <c r="J309" s="7" t="n">
        <v>21</v>
      </c>
      <c r="K309" s="6" t="s">
        <v>25</v>
      </c>
      <c r="L309" s="6" t="n">
        <v>99</v>
      </c>
      <c r="M309" s="7" t="n">
        <f aca="false">L309*J309</f>
        <v>2079</v>
      </c>
      <c r="N309" s="7" t="n">
        <f aca="false">L309*I309</f>
        <v>841.5</v>
      </c>
      <c r="O309" s="7" t="n">
        <f aca="false">M309-N309</f>
        <v>1237.5</v>
      </c>
      <c r="P309" s="8" t="n">
        <f aca="false">IFERROR(O309/M309,0)</f>
        <v>0.595238095238095</v>
      </c>
    </row>
    <row r="310" customFormat="false" ht="15" hidden="false" customHeight="true" outlineLevel="0" collapsed="false">
      <c r="A310" s="3" t="s">
        <v>66</v>
      </c>
      <c r="B310" s="3" t="s">
        <v>67</v>
      </c>
      <c r="C310" s="3" t="s">
        <v>18</v>
      </c>
      <c r="D310" s="3" t="s">
        <v>68</v>
      </c>
      <c r="E310" s="3" t="s">
        <v>20</v>
      </c>
      <c r="F310" s="3" t="s">
        <v>30</v>
      </c>
      <c r="G310" s="3" t="s">
        <v>31</v>
      </c>
      <c r="H310" s="3" t="s">
        <v>23</v>
      </c>
      <c r="I310" s="4" t="n">
        <v>8.5</v>
      </c>
      <c r="J310" s="4" t="n">
        <v>21</v>
      </c>
      <c r="K310" s="3" t="s">
        <v>26</v>
      </c>
      <c r="L310" s="3" t="n">
        <v>108</v>
      </c>
      <c r="M310" s="4" t="n">
        <f aca="false">L310*J310</f>
        <v>2268</v>
      </c>
      <c r="N310" s="4" t="n">
        <f aca="false">L310*I310</f>
        <v>918</v>
      </c>
      <c r="O310" s="4" t="n">
        <f aca="false">M310-N310</f>
        <v>1350</v>
      </c>
      <c r="P310" s="5" t="n">
        <f aca="false">IFERROR(O310/M310,0)</f>
        <v>0.595238095238095</v>
      </c>
    </row>
    <row r="311" customFormat="false" ht="15" hidden="false" customHeight="true" outlineLevel="0" collapsed="false">
      <c r="A311" s="6" t="s">
        <v>66</v>
      </c>
      <c r="B311" s="6" t="s">
        <v>67</v>
      </c>
      <c r="C311" s="6" t="s">
        <v>18</v>
      </c>
      <c r="D311" s="6" t="s">
        <v>68</v>
      </c>
      <c r="E311" s="6" t="s">
        <v>20</v>
      </c>
      <c r="F311" s="6" t="s">
        <v>30</v>
      </c>
      <c r="G311" s="6" t="s">
        <v>31</v>
      </c>
      <c r="H311" s="6" t="s">
        <v>23</v>
      </c>
      <c r="I311" s="7" t="n">
        <v>8.5</v>
      </c>
      <c r="J311" s="7" t="n">
        <v>21</v>
      </c>
      <c r="K311" s="6" t="s">
        <v>27</v>
      </c>
      <c r="L311" s="6" t="n">
        <v>100</v>
      </c>
      <c r="M311" s="7" t="n">
        <f aca="false">L311*J311</f>
        <v>2100</v>
      </c>
      <c r="N311" s="7" t="n">
        <f aca="false">L311*I311</f>
        <v>850</v>
      </c>
      <c r="O311" s="7" t="n">
        <f aca="false">M311-N311</f>
        <v>1250</v>
      </c>
      <c r="P311" s="8" t="n">
        <f aca="false">IFERROR(O311/M311,0)</f>
        <v>0.595238095238095</v>
      </c>
    </row>
    <row r="312" customFormat="false" ht="15" hidden="false" customHeight="true" outlineLevel="0" collapsed="false">
      <c r="A312" s="3" t="s">
        <v>66</v>
      </c>
      <c r="B312" s="3" t="s">
        <v>67</v>
      </c>
      <c r="C312" s="3" t="s">
        <v>18</v>
      </c>
      <c r="D312" s="3" t="s">
        <v>68</v>
      </c>
      <c r="E312" s="3" t="s">
        <v>20</v>
      </c>
      <c r="F312" s="3" t="s">
        <v>30</v>
      </c>
      <c r="G312" s="3" t="s">
        <v>31</v>
      </c>
      <c r="H312" s="3" t="s">
        <v>23</v>
      </c>
      <c r="I312" s="4" t="n">
        <v>8.5</v>
      </c>
      <c r="J312" s="4" t="n">
        <v>21</v>
      </c>
      <c r="K312" s="3" t="s">
        <v>28</v>
      </c>
      <c r="L312" s="3" t="n">
        <v>173</v>
      </c>
      <c r="M312" s="4" t="n">
        <f aca="false">L312*J312</f>
        <v>3633</v>
      </c>
      <c r="N312" s="4" t="n">
        <f aca="false">L312*I312</f>
        <v>1470.5</v>
      </c>
      <c r="O312" s="4" t="n">
        <f aca="false">M312-N312</f>
        <v>2162.5</v>
      </c>
      <c r="P312" s="5" t="n">
        <f aca="false">IFERROR(O312/M312,0)</f>
        <v>0.595238095238095</v>
      </c>
    </row>
    <row r="313" customFormat="false" ht="15" hidden="false" customHeight="true" outlineLevel="0" collapsed="false">
      <c r="A313" s="6" t="s">
        <v>66</v>
      </c>
      <c r="B313" s="6" t="s">
        <v>67</v>
      </c>
      <c r="C313" s="6" t="s">
        <v>18</v>
      </c>
      <c r="D313" s="6" t="s">
        <v>68</v>
      </c>
      <c r="E313" s="6" t="s">
        <v>20</v>
      </c>
      <c r="F313" s="6" t="s">
        <v>30</v>
      </c>
      <c r="G313" s="6" t="s">
        <v>31</v>
      </c>
      <c r="H313" s="6" t="s">
        <v>23</v>
      </c>
      <c r="I313" s="7" t="n">
        <v>8.5</v>
      </c>
      <c r="J313" s="7" t="n">
        <v>21</v>
      </c>
      <c r="K313" s="6" t="s">
        <v>29</v>
      </c>
      <c r="L313" s="6" t="n">
        <v>210</v>
      </c>
      <c r="M313" s="7" t="n">
        <f aca="false">L313*J313</f>
        <v>4410</v>
      </c>
      <c r="N313" s="7" t="n">
        <f aca="false">L313*I313</f>
        <v>1785</v>
      </c>
      <c r="O313" s="7" t="n">
        <f aca="false">M313-N313</f>
        <v>2625</v>
      </c>
      <c r="P313" s="8" t="n">
        <f aca="false">IFERROR(O313/M313,0)</f>
        <v>0.595238095238095</v>
      </c>
    </row>
    <row r="314" customFormat="false" ht="15" hidden="false" customHeight="true" outlineLevel="0" collapsed="false">
      <c r="A314" s="3" t="s">
        <v>66</v>
      </c>
      <c r="B314" s="3" t="s">
        <v>67</v>
      </c>
      <c r="C314" s="3" t="s">
        <v>18</v>
      </c>
      <c r="D314" s="3" t="s">
        <v>68</v>
      </c>
      <c r="E314" s="3" t="s">
        <v>20</v>
      </c>
      <c r="F314" s="3" t="s">
        <v>32</v>
      </c>
      <c r="G314" s="3" t="s">
        <v>33</v>
      </c>
      <c r="H314" s="3" t="s">
        <v>23</v>
      </c>
      <c r="I314" s="4" t="n">
        <v>2.5</v>
      </c>
      <c r="J314" s="4" t="n">
        <v>4.5</v>
      </c>
      <c r="K314" s="3" t="s">
        <v>24</v>
      </c>
      <c r="L314" s="3" t="n">
        <v>124</v>
      </c>
      <c r="M314" s="4" t="n">
        <f aca="false">L314*J314</f>
        <v>558</v>
      </c>
      <c r="N314" s="4" t="n">
        <f aca="false">L314*I314</f>
        <v>310</v>
      </c>
      <c r="O314" s="4" t="n">
        <f aca="false">M314-N314</f>
        <v>248</v>
      </c>
      <c r="P314" s="5" t="n">
        <f aca="false">IFERROR(O314/M314,0)</f>
        <v>0.444444444444444</v>
      </c>
    </row>
    <row r="315" customFormat="false" ht="15" hidden="false" customHeight="true" outlineLevel="0" collapsed="false">
      <c r="A315" s="6" t="s">
        <v>66</v>
      </c>
      <c r="B315" s="6" t="s">
        <v>67</v>
      </c>
      <c r="C315" s="6" t="s">
        <v>18</v>
      </c>
      <c r="D315" s="6" t="s">
        <v>68</v>
      </c>
      <c r="E315" s="6" t="s">
        <v>20</v>
      </c>
      <c r="F315" s="6" t="s">
        <v>32</v>
      </c>
      <c r="G315" s="6" t="s">
        <v>33</v>
      </c>
      <c r="H315" s="6" t="s">
        <v>23</v>
      </c>
      <c r="I315" s="7" t="n">
        <v>2.5</v>
      </c>
      <c r="J315" s="7" t="n">
        <v>4.5</v>
      </c>
      <c r="K315" s="6" t="s">
        <v>25</v>
      </c>
      <c r="L315" s="6" t="n">
        <v>78</v>
      </c>
      <c r="M315" s="7" t="n">
        <f aca="false">L315*J315</f>
        <v>351</v>
      </c>
      <c r="N315" s="7" t="n">
        <f aca="false">L315*I315</f>
        <v>195</v>
      </c>
      <c r="O315" s="7" t="n">
        <f aca="false">M315-N315</f>
        <v>156</v>
      </c>
      <c r="P315" s="8" t="n">
        <f aca="false">IFERROR(O315/M315,0)</f>
        <v>0.444444444444444</v>
      </c>
    </row>
    <row r="316" customFormat="false" ht="15" hidden="false" customHeight="true" outlineLevel="0" collapsed="false">
      <c r="A316" s="3" t="s">
        <v>66</v>
      </c>
      <c r="B316" s="3" t="s">
        <v>67</v>
      </c>
      <c r="C316" s="3" t="s">
        <v>18</v>
      </c>
      <c r="D316" s="3" t="s">
        <v>68</v>
      </c>
      <c r="E316" s="3" t="s">
        <v>20</v>
      </c>
      <c r="F316" s="3" t="s">
        <v>32</v>
      </c>
      <c r="G316" s="3" t="s">
        <v>33</v>
      </c>
      <c r="H316" s="3" t="s">
        <v>23</v>
      </c>
      <c r="I316" s="4" t="n">
        <v>2.5</v>
      </c>
      <c r="J316" s="4" t="n">
        <v>4.5</v>
      </c>
      <c r="K316" s="3" t="s">
        <v>26</v>
      </c>
      <c r="L316" s="3" t="n">
        <v>200</v>
      </c>
      <c r="M316" s="4" t="n">
        <f aca="false">L316*J316</f>
        <v>900</v>
      </c>
      <c r="N316" s="4" t="n">
        <f aca="false">L316*I316</f>
        <v>500</v>
      </c>
      <c r="O316" s="4" t="n">
        <f aca="false">M316-N316</f>
        <v>400</v>
      </c>
      <c r="P316" s="5" t="n">
        <f aca="false">IFERROR(O316/M316,0)</f>
        <v>0.444444444444444</v>
      </c>
    </row>
    <row r="317" customFormat="false" ht="15" hidden="false" customHeight="true" outlineLevel="0" collapsed="false">
      <c r="A317" s="6" t="s">
        <v>66</v>
      </c>
      <c r="B317" s="6" t="s">
        <v>67</v>
      </c>
      <c r="C317" s="6" t="s">
        <v>18</v>
      </c>
      <c r="D317" s="6" t="s">
        <v>68</v>
      </c>
      <c r="E317" s="6" t="s">
        <v>20</v>
      </c>
      <c r="F317" s="6" t="s">
        <v>32</v>
      </c>
      <c r="G317" s="6" t="s">
        <v>33</v>
      </c>
      <c r="H317" s="6" t="s">
        <v>23</v>
      </c>
      <c r="I317" s="7" t="n">
        <v>2.5</v>
      </c>
      <c r="J317" s="7" t="n">
        <v>4.5</v>
      </c>
      <c r="K317" s="6" t="s">
        <v>27</v>
      </c>
      <c r="L317" s="6" t="n">
        <v>44</v>
      </c>
      <c r="M317" s="7" t="n">
        <f aca="false">L317*J317</f>
        <v>198</v>
      </c>
      <c r="N317" s="7" t="n">
        <f aca="false">L317*I317</f>
        <v>110</v>
      </c>
      <c r="O317" s="7" t="n">
        <f aca="false">M317-N317</f>
        <v>88</v>
      </c>
      <c r="P317" s="8" t="n">
        <f aca="false">IFERROR(O317/M317,0)</f>
        <v>0.444444444444444</v>
      </c>
    </row>
    <row r="318" customFormat="false" ht="15" hidden="false" customHeight="true" outlineLevel="0" collapsed="false">
      <c r="A318" s="3" t="s">
        <v>66</v>
      </c>
      <c r="B318" s="3" t="s">
        <v>67</v>
      </c>
      <c r="C318" s="3" t="s">
        <v>18</v>
      </c>
      <c r="D318" s="3" t="s">
        <v>68</v>
      </c>
      <c r="E318" s="3" t="s">
        <v>20</v>
      </c>
      <c r="F318" s="3" t="s">
        <v>32</v>
      </c>
      <c r="G318" s="3" t="s">
        <v>33</v>
      </c>
      <c r="H318" s="3" t="s">
        <v>23</v>
      </c>
      <c r="I318" s="4" t="n">
        <v>2.5</v>
      </c>
      <c r="J318" s="4" t="n">
        <v>4.5</v>
      </c>
      <c r="K318" s="3" t="s">
        <v>28</v>
      </c>
      <c r="L318" s="3" t="n">
        <v>268</v>
      </c>
      <c r="M318" s="4" t="n">
        <f aca="false">L318*J318</f>
        <v>1206</v>
      </c>
      <c r="N318" s="4" t="n">
        <f aca="false">L318*I318</f>
        <v>670</v>
      </c>
      <c r="O318" s="4" t="n">
        <f aca="false">M318-N318</f>
        <v>536</v>
      </c>
      <c r="P318" s="5" t="n">
        <f aca="false">IFERROR(O318/M318,0)</f>
        <v>0.444444444444444</v>
      </c>
    </row>
    <row r="319" customFormat="false" ht="15" hidden="false" customHeight="true" outlineLevel="0" collapsed="false">
      <c r="A319" s="6" t="s">
        <v>66</v>
      </c>
      <c r="B319" s="6" t="s">
        <v>67</v>
      </c>
      <c r="C319" s="6" t="s">
        <v>18</v>
      </c>
      <c r="D319" s="6" t="s">
        <v>68</v>
      </c>
      <c r="E319" s="6" t="s">
        <v>20</v>
      </c>
      <c r="F319" s="6" t="s">
        <v>32</v>
      </c>
      <c r="G319" s="6" t="s">
        <v>33</v>
      </c>
      <c r="H319" s="6" t="s">
        <v>23</v>
      </c>
      <c r="I319" s="7" t="n">
        <v>2.5</v>
      </c>
      <c r="J319" s="7" t="n">
        <v>4.5</v>
      </c>
      <c r="K319" s="6" t="s">
        <v>29</v>
      </c>
      <c r="L319" s="6" t="n">
        <v>162</v>
      </c>
      <c r="M319" s="7" t="n">
        <f aca="false">L319*J319</f>
        <v>729</v>
      </c>
      <c r="N319" s="7" t="n">
        <f aca="false">L319*I319</f>
        <v>405</v>
      </c>
      <c r="O319" s="7" t="n">
        <f aca="false">M319-N319</f>
        <v>324</v>
      </c>
      <c r="P319" s="8" t="n">
        <f aca="false">IFERROR(O319/M319,0)</f>
        <v>0.444444444444444</v>
      </c>
    </row>
    <row r="320" customFormat="false" ht="15" hidden="false" customHeight="true" outlineLevel="0" collapsed="false">
      <c r="A320" s="3" t="s">
        <v>66</v>
      </c>
      <c r="B320" s="3" t="s">
        <v>67</v>
      </c>
      <c r="C320" s="3" t="s">
        <v>18</v>
      </c>
      <c r="D320" s="3" t="s">
        <v>68</v>
      </c>
      <c r="E320" s="3" t="s">
        <v>20</v>
      </c>
      <c r="F320" s="3" t="s">
        <v>34</v>
      </c>
      <c r="G320" s="3" t="s">
        <v>35</v>
      </c>
      <c r="H320" s="3" t="s">
        <v>23</v>
      </c>
      <c r="I320" s="4" t="n">
        <v>6</v>
      </c>
      <c r="J320" s="4" t="n">
        <v>12.5</v>
      </c>
      <c r="K320" s="3" t="s">
        <v>24</v>
      </c>
      <c r="L320" s="3" t="n">
        <v>147</v>
      </c>
      <c r="M320" s="4" t="n">
        <f aca="false">L320*J320</f>
        <v>1837.5</v>
      </c>
      <c r="N320" s="4" t="n">
        <f aca="false">L320*I320</f>
        <v>882</v>
      </c>
      <c r="O320" s="4" t="n">
        <f aca="false">M320-N320</f>
        <v>955.5</v>
      </c>
      <c r="P320" s="5" t="n">
        <f aca="false">IFERROR(O320/M320,0)</f>
        <v>0.52</v>
      </c>
    </row>
    <row r="321" customFormat="false" ht="15" hidden="false" customHeight="true" outlineLevel="0" collapsed="false">
      <c r="A321" s="6" t="s">
        <v>66</v>
      </c>
      <c r="B321" s="6" t="s">
        <v>67</v>
      </c>
      <c r="C321" s="6" t="s">
        <v>18</v>
      </c>
      <c r="D321" s="6" t="s">
        <v>68</v>
      </c>
      <c r="E321" s="6" t="s">
        <v>20</v>
      </c>
      <c r="F321" s="6" t="s">
        <v>34</v>
      </c>
      <c r="G321" s="6" t="s">
        <v>35</v>
      </c>
      <c r="H321" s="6" t="s">
        <v>23</v>
      </c>
      <c r="I321" s="7" t="n">
        <v>6</v>
      </c>
      <c r="J321" s="7" t="n">
        <v>12.5</v>
      </c>
      <c r="K321" s="6" t="s">
        <v>25</v>
      </c>
      <c r="L321" s="6" t="n">
        <v>183</v>
      </c>
      <c r="M321" s="7" t="n">
        <f aca="false">L321*J321</f>
        <v>2287.5</v>
      </c>
      <c r="N321" s="7" t="n">
        <f aca="false">L321*I321</f>
        <v>1098</v>
      </c>
      <c r="O321" s="7" t="n">
        <f aca="false">M321-N321</f>
        <v>1189.5</v>
      </c>
      <c r="P321" s="8" t="n">
        <f aca="false">IFERROR(O321/M321,0)</f>
        <v>0.52</v>
      </c>
    </row>
    <row r="322" customFormat="false" ht="15" hidden="false" customHeight="true" outlineLevel="0" collapsed="false">
      <c r="A322" s="3" t="s">
        <v>66</v>
      </c>
      <c r="B322" s="3" t="s">
        <v>67</v>
      </c>
      <c r="C322" s="3" t="s">
        <v>18</v>
      </c>
      <c r="D322" s="3" t="s">
        <v>68</v>
      </c>
      <c r="E322" s="3" t="s">
        <v>20</v>
      </c>
      <c r="F322" s="3" t="s">
        <v>34</v>
      </c>
      <c r="G322" s="3" t="s">
        <v>35</v>
      </c>
      <c r="H322" s="3" t="s">
        <v>23</v>
      </c>
      <c r="I322" s="4" t="n">
        <v>6</v>
      </c>
      <c r="J322" s="4" t="n">
        <v>12.5</v>
      </c>
      <c r="K322" s="3" t="s">
        <v>26</v>
      </c>
      <c r="L322" s="3" t="n">
        <v>108</v>
      </c>
      <c r="M322" s="4" t="n">
        <f aca="false">L322*J322</f>
        <v>1350</v>
      </c>
      <c r="N322" s="4" t="n">
        <f aca="false">L322*I322</f>
        <v>648</v>
      </c>
      <c r="O322" s="4" t="n">
        <f aca="false">M322-N322</f>
        <v>702</v>
      </c>
      <c r="P322" s="5" t="n">
        <f aca="false">IFERROR(O322/M322,0)</f>
        <v>0.52</v>
      </c>
    </row>
    <row r="323" customFormat="false" ht="15" hidden="false" customHeight="true" outlineLevel="0" collapsed="false">
      <c r="A323" s="6" t="s">
        <v>66</v>
      </c>
      <c r="B323" s="6" t="s">
        <v>67</v>
      </c>
      <c r="C323" s="6" t="s">
        <v>18</v>
      </c>
      <c r="D323" s="6" t="s">
        <v>68</v>
      </c>
      <c r="E323" s="6" t="s">
        <v>20</v>
      </c>
      <c r="F323" s="6" t="s">
        <v>34</v>
      </c>
      <c r="G323" s="6" t="s">
        <v>35</v>
      </c>
      <c r="H323" s="6" t="s">
        <v>23</v>
      </c>
      <c r="I323" s="7" t="n">
        <v>6</v>
      </c>
      <c r="J323" s="7" t="n">
        <v>12.5</v>
      </c>
      <c r="K323" s="6" t="s">
        <v>27</v>
      </c>
      <c r="L323" s="6" t="n">
        <v>54</v>
      </c>
      <c r="M323" s="7" t="n">
        <f aca="false">L323*J323</f>
        <v>675</v>
      </c>
      <c r="N323" s="7" t="n">
        <f aca="false">L323*I323</f>
        <v>324</v>
      </c>
      <c r="O323" s="7" t="n">
        <f aca="false">M323-N323</f>
        <v>351</v>
      </c>
      <c r="P323" s="8" t="n">
        <f aca="false">IFERROR(O323/M323,0)</f>
        <v>0.52</v>
      </c>
    </row>
    <row r="324" customFormat="false" ht="15" hidden="false" customHeight="true" outlineLevel="0" collapsed="false">
      <c r="A324" s="3" t="s">
        <v>66</v>
      </c>
      <c r="B324" s="3" t="s">
        <v>67</v>
      </c>
      <c r="C324" s="3" t="s">
        <v>18</v>
      </c>
      <c r="D324" s="3" t="s">
        <v>68</v>
      </c>
      <c r="E324" s="3" t="s">
        <v>20</v>
      </c>
      <c r="F324" s="3" t="s">
        <v>34</v>
      </c>
      <c r="G324" s="3" t="s">
        <v>35</v>
      </c>
      <c r="H324" s="3" t="s">
        <v>23</v>
      </c>
      <c r="I324" s="4" t="n">
        <v>6</v>
      </c>
      <c r="J324" s="4" t="n">
        <v>12.5</v>
      </c>
      <c r="K324" s="3" t="s">
        <v>28</v>
      </c>
      <c r="L324" s="3" t="n">
        <v>299</v>
      </c>
      <c r="M324" s="4" t="n">
        <f aca="false">L324*J324</f>
        <v>3737.5</v>
      </c>
      <c r="N324" s="4" t="n">
        <f aca="false">L324*I324</f>
        <v>1794</v>
      </c>
      <c r="O324" s="4" t="n">
        <f aca="false">M324-N324</f>
        <v>1943.5</v>
      </c>
      <c r="P324" s="5" t="n">
        <f aca="false">IFERROR(O324/M324,0)</f>
        <v>0.52</v>
      </c>
    </row>
    <row r="325" customFormat="false" ht="15" hidden="false" customHeight="true" outlineLevel="0" collapsed="false">
      <c r="A325" s="6" t="s">
        <v>66</v>
      </c>
      <c r="B325" s="6" t="s">
        <v>67</v>
      </c>
      <c r="C325" s="6" t="s">
        <v>18</v>
      </c>
      <c r="D325" s="6" t="s">
        <v>68</v>
      </c>
      <c r="E325" s="6" t="s">
        <v>20</v>
      </c>
      <c r="F325" s="6" t="s">
        <v>34</v>
      </c>
      <c r="G325" s="6" t="s">
        <v>35</v>
      </c>
      <c r="H325" s="6" t="s">
        <v>23</v>
      </c>
      <c r="I325" s="7" t="n">
        <v>6</v>
      </c>
      <c r="J325" s="7" t="n">
        <v>12.5</v>
      </c>
      <c r="K325" s="6" t="s">
        <v>29</v>
      </c>
      <c r="L325" s="6" t="n">
        <v>90</v>
      </c>
      <c r="M325" s="7" t="n">
        <f aca="false">L325*J325</f>
        <v>1125</v>
      </c>
      <c r="N325" s="7" t="n">
        <f aca="false">L325*I325</f>
        <v>540</v>
      </c>
      <c r="O325" s="7" t="n">
        <f aca="false">M325-N325</f>
        <v>585</v>
      </c>
      <c r="P325" s="8" t="n">
        <f aca="false">IFERROR(O325/M325,0)</f>
        <v>0.52</v>
      </c>
    </row>
    <row r="326" customFormat="false" ht="15" hidden="false" customHeight="true" outlineLevel="0" collapsed="false">
      <c r="A326" s="3" t="s">
        <v>66</v>
      </c>
      <c r="B326" s="3" t="s">
        <v>67</v>
      </c>
      <c r="C326" s="3" t="s">
        <v>18</v>
      </c>
      <c r="D326" s="3" t="s">
        <v>68</v>
      </c>
      <c r="E326" s="3" t="s">
        <v>20</v>
      </c>
      <c r="F326" s="3" t="s">
        <v>36</v>
      </c>
      <c r="G326" s="3" t="s">
        <v>37</v>
      </c>
      <c r="H326" s="3" t="s">
        <v>23</v>
      </c>
      <c r="I326" s="4" t="n">
        <v>4.5</v>
      </c>
      <c r="J326" s="4" t="n">
        <v>7</v>
      </c>
      <c r="K326" s="3" t="s">
        <v>24</v>
      </c>
      <c r="L326" s="3" t="n">
        <v>194</v>
      </c>
      <c r="M326" s="4" t="n">
        <f aca="false">L326*J326</f>
        <v>1358</v>
      </c>
      <c r="N326" s="4" t="n">
        <f aca="false">L326*I326</f>
        <v>873</v>
      </c>
      <c r="O326" s="4" t="n">
        <f aca="false">M326-N326</f>
        <v>485</v>
      </c>
      <c r="P326" s="5" t="n">
        <f aca="false">IFERROR(O326/M326,0)</f>
        <v>0.357142857142857</v>
      </c>
    </row>
    <row r="327" customFormat="false" ht="15" hidden="false" customHeight="true" outlineLevel="0" collapsed="false">
      <c r="A327" s="6" t="s">
        <v>66</v>
      </c>
      <c r="B327" s="6" t="s">
        <v>67</v>
      </c>
      <c r="C327" s="6" t="s">
        <v>18</v>
      </c>
      <c r="D327" s="6" t="s">
        <v>68</v>
      </c>
      <c r="E327" s="6" t="s">
        <v>20</v>
      </c>
      <c r="F327" s="6" t="s">
        <v>36</v>
      </c>
      <c r="G327" s="6" t="s">
        <v>37</v>
      </c>
      <c r="H327" s="6" t="s">
        <v>23</v>
      </c>
      <c r="I327" s="7" t="n">
        <v>4.5</v>
      </c>
      <c r="J327" s="7" t="n">
        <v>7</v>
      </c>
      <c r="K327" s="6" t="s">
        <v>25</v>
      </c>
      <c r="L327" s="6" t="n">
        <v>237</v>
      </c>
      <c r="M327" s="7" t="n">
        <f aca="false">L327*J327</f>
        <v>1659</v>
      </c>
      <c r="N327" s="7" t="n">
        <f aca="false">L327*I327</f>
        <v>1066.5</v>
      </c>
      <c r="O327" s="7" t="n">
        <f aca="false">M327-N327</f>
        <v>592.5</v>
      </c>
      <c r="P327" s="8" t="n">
        <f aca="false">IFERROR(O327/M327,0)</f>
        <v>0.357142857142857</v>
      </c>
    </row>
    <row r="328" customFormat="false" ht="15" hidden="false" customHeight="true" outlineLevel="0" collapsed="false">
      <c r="A328" s="3" t="s">
        <v>66</v>
      </c>
      <c r="B328" s="3" t="s">
        <v>67</v>
      </c>
      <c r="C328" s="3" t="s">
        <v>18</v>
      </c>
      <c r="D328" s="3" t="s">
        <v>68</v>
      </c>
      <c r="E328" s="3" t="s">
        <v>20</v>
      </c>
      <c r="F328" s="3" t="s">
        <v>36</v>
      </c>
      <c r="G328" s="3" t="s">
        <v>37</v>
      </c>
      <c r="H328" s="3" t="s">
        <v>23</v>
      </c>
      <c r="I328" s="4" t="n">
        <v>4.5</v>
      </c>
      <c r="J328" s="4" t="n">
        <v>7</v>
      </c>
      <c r="K328" s="3" t="s">
        <v>26</v>
      </c>
      <c r="L328" s="3" t="n">
        <v>95</v>
      </c>
      <c r="M328" s="4" t="n">
        <f aca="false">L328*J328</f>
        <v>665</v>
      </c>
      <c r="N328" s="4" t="n">
        <f aca="false">L328*I328</f>
        <v>427.5</v>
      </c>
      <c r="O328" s="4" t="n">
        <f aca="false">M328-N328</f>
        <v>237.5</v>
      </c>
      <c r="P328" s="5" t="n">
        <f aca="false">IFERROR(O328/M328,0)</f>
        <v>0.357142857142857</v>
      </c>
    </row>
    <row r="329" customFormat="false" ht="15" hidden="false" customHeight="true" outlineLevel="0" collapsed="false">
      <c r="A329" s="6" t="s">
        <v>66</v>
      </c>
      <c r="B329" s="6" t="s">
        <v>67</v>
      </c>
      <c r="C329" s="6" t="s">
        <v>18</v>
      </c>
      <c r="D329" s="6" t="s">
        <v>68</v>
      </c>
      <c r="E329" s="6" t="s">
        <v>20</v>
      </c>
      <c r="F329" s="6" t="s">
        <v>36</v>
      </c>
      <c r="G329" s="6" t="s">
        <v>37</v>
      </c>
      <c r="H329" s="6" t="s">
        <v>23</v>
      </c>
      <c r="I329" s="7" t="n">
        <v>4.5</v>
      </c>
      <c r="J329" s="7" t="n">
        <v>7</v>
      </c>
      <c r="K329" s="6" t="s">
        <v>27</v>
      </c>
      <c r="L329" s="6" t="n">
        <v>235</v>
      </c>
      <c r="M329" s="7" t="n">
        <f aca="false">L329*J329</f>
        <v>1645</v>
      </c>
      <c r="N329" s="7" t="n">
        <f aca="false">L329*I329</f>
        <v>1057.5</v>
      </c>
      <c r="O329" s="7" t="n">
        <f aca="false">M329-N329</f>
        <v>587.5</v>
      </c>
      <c r="P329" s="8" t="n">
        <f aca="false">IFERROR(O329/M329,0)</f>
        <v>0.357142857142857</v>
      </c>
    </row>
    <row r="330" customFormat="false" ht="15" hidden="false" customHeight="true" outlineLevel="0" collapsed="false">
      <c r="A330" s="3" t="s">
        <v>66</v>
      </c>
      <c r="B330" s="3" t="s">
        <v>67</v>
      </c>
      <c r="C330" s="3" t="s">
        <v>18</v>
      </c>
      <c r="D330" s="3" t="s">
        <v>68</v>
      </c>
      <c r="E330" s="3" t="s">
        <v>20</v>
      </c>
      <c r="F330" s="3" t="s">
        <v>36</v>
      </c>
      <c r="G330" s="3" t="s">
        <v>37</v>
      </c>
      <c r="H330" s="3" t="s">
        <v>23</v>
      </c>
      <c r="I330" s="4" t="n">
        <v>4.5</v>
      </c>
      <c r="J330" s="4" t="n">
        <v>7</v>
      </c>
      <c r="K330" s="3" t="s">
        <v>28</v>
      </c>
      <c r="L330" s="3" t="n">
        <v>312</v>
      </c>
      <c r="M330" s="4" t="n">
        <f aca="false">L330*J330</f>
        <v>2184</v>
      </c>
      <c r="N330" s="4" t="n">
        <f aca="false">L330*I330</f>
        <v>1404</v>
      </c>
      <c r="O330" s="4" t="n">
        <f aca="false">M330-N330</f>
        <v>780</v>
      </c>
      <c r="P330" s="5" t="n">
        <f aca="false">IFERROR(O330/M330,0)</f>
        <v>0.357142857142857</v>
      </c>
    </row>
    <row r="331" customFormat="false" ht="15" hidden="false" customHeight="true" outlineLevel="0" collapsed="false">
      <c r="A331" s="6" t="s">
        <v>66</v>
      </c>
      <c r="B331" s="6" t="s">
        <v>67</v>
      </c>
      <c r="C331" s="6" t="s">
        <v>18</v>
      </c>
      <c r="D331" s="6" t="s">
        <v>68</v>
      </c>
      <c r="E331" s="6" t="s">
        <v>20</v>
      </c>
      <c r="F331" s="6" t="s">
        <v>36</v>
      </c>
      <c r="G331" s="6" t="s">
        <v>37</v>
      </c>
      <c r="H331" s="6" t="s">
        <v>23</v>
      </c>
      <c r="I331" s="7" t="n">
        <v>4.5</v>
      </c>
      <c r="J331" s="7" t="n">
        <v>7</v>
      </c>
      <c r="K331" s="6" t="s">
        <v>29</v>
      </c>
      <c r="L331" s="6" t="n">
        <v>322</v>
      </c>
      <c r="M331" s="7" t="n">
        <f aca="false">L331*J331</f>
        <v>2254</v>
      </c>
      <c r="N331" s="7" t="n">
        <f aca="false">L331*I331</f>
        <v>1449</v>
      </c>
      <c r="O331" s="7" t="n">
        <f aca="false">M331-N331</f>
        <v>805</v>
      </c>
      <c r="P331" s="8" t="n">
        <f aca="false">IFERROR(O331/M331,0)</f>
        <v>0.357142857142857</v>
      </c>
    </row>
    <row r="332" customFormat="false" ht="15" hidden="false" customHeight="true" outlineLevel="0" collapsed="false">
      <c r="A332" s="3" t="s">
        <v>66</v>
      </c>
      <c r="B332" s="3" t="s">
        <v>67</v>
      </c>
      <c r="C332" s="3" t="s">
        <v>18</v>
      </c>
      <c r="D332" s="3" t="s">
        <v>68</v>
      </c>
      <c r="E332" s="3" t="s">
        <v>20</v>
      </c>
      <c r="F332" s="3" t="s">
        <v>38</v>
      </c>
      <c r="G332" s="3" t="s">
        <v>39</v>
      </c>
      <c r="H332" s="3" t="s">
        <v>23</v>
      </c>
      <c r="I332" s="4" t="n">
        <v>9.9</v>
      </c>
      <c r="J332" s="4" t="n">
        <v>18</v>
      </c>
      <c r="K332" s="3" t="s">
        <v>24</v>
      </c>
      <c r="L332" s="3" t="n">
        <v>307</v>
      </c>
      <c r="M332" s="4" t="n">
        <f aca="false">L332*J332</f>
        <v>5526</v>
      </c>
      <c r="N332" s="4" t="n">
        <f aca="false">L332*I332</f>
        <v>3039.3</v>
      </c>
      <c r="O332" s="4" t="n">
        <f aca="false">M332-N332</f>
        <v>2486.7</v>
      </c>
      <c r="P332" s="5" t="n">
        <f aca="false">IFERROR(O332/M332,0)</f>
        <v>0.45</v>
      </c>
    </row>
    <row r="333" customFormat="false" ht="15" hidden="false" customHeight="true" outlineLevel="0" collapsed="false">
      <c r="A333" s="6" t="s">
        <v>66</v>
      </c>
      <c r="B333" s="6" t="s">
        <v>67</v>
      </c>
      <c r="C333" s="6" t="s">
        <v>18</v>
      </c>
      <c r="D333" s="6" t="s">
        <v>68</v>
      </c>
      <c r="E333" s="6" t="s">
        <v>20</v>
      </c>
      <c r="F333" s="6" t="s">
        <v>38</v>
      </c>
      <c r="G333" s="6" t="s">
        <v>39</v>
      </c>
      <c r="H333" s="6" t="s">
        <v>23</v>
      </c>
      <c r="I333" s="7" t="n">
        <v>9.9</v>
      </c>
      <c r="J333" s="7" t="n">
        <v>18</v>
      </c>
      <c r="K333" s="6" t="s">
        <v>25</v>
      </c>
      <c r="L333" s="6" t="n">
        <v>168</v>
      </c>
      <c r="M333" s="7" t="n">
        <f aca="false">L333*J333</f>
        <v>3024</v>
      </c>
      <c r="N333" s="7" t="n">
        <f aca="false">L333*I333</f>
        <v>1663.2</v>
      </c>
      <c r="O333" s="7" t="n">
        <f aca="false">M333-N333</f>
        <v>1360.8</v>
      </c>
      <c r="P333" s="8" t="n">
        <f aca="false">IFERROR(O333/M333,0)</f>
        <v>0.45</v>
      </c>
    </row>
    <row r="334" customFormat="false" ht="15" hidden="false" customHeight="true" outlineLevel="0" collapsed="false">
      <c r="A334" s="3" t="s">
        <v>66</v>
      </c>
      <c r="B334" s="3" t="s">
        <v>67</v>
      </c>
      <c r="C334" s="3" t="s">
        <v>18</v>
      </c>
      <c r="D334" s="3" t="s">
        <v>68</v>
      </c>
      <c r="E334" s="3" t="s">
        <v>20</v>
      </c>
      <c r="F334" s="3" t="s">
        <v>38</v>
      </c>
      <c r="G334" s="3" t="s">
        <v>39</v>
      </c>
      <c r="H334" s="3" t="s">
        <v>23</v>
      </c>
      <c r="I334" s="4" t="n">
        <v>9.9</v>
      </c>
      <c r="J334" s="4" t="n">
        <v>18</v>
      </c>
      <c r="K334" s="3" t="s">
        <v>26</v>
      </c>
      <c r="L334" s="3" t="n">
        <v>308</v>
      </c>
      <c r="M334" s="4" t="n">
        <f aca="false">L334*J334</f>
        <v>5544</v>
      </c>
      <c r="N334" s="4" t="n">
        <f aca="false">L334*I334</f>
        <v>3049.2</v>
      </c>
      <c r="O334" s="4" t="n">
        <f aca="false">M334-N334</f>
        <v>2494.8</v>
      </c>
      <c r="P334" s="5" t="n">
        <f aca="false">IFERROR(O334/M334,0)</f>
        <v>0.45</v>
      </c>
    </row>
    <row r="335" customFormat="false" ht="15" hidden="false" customHeight="true" outlineLevel="0" collapsed="false">
      <c r="A335" s="6" t="s">
        <v>66</v>
      </c>
      <c r="B335" s="6" t="s">
        <v>67</v>
      </c>
      <c r="C335" s="6" t="s">
        <v>18</v>
      </c>
      <c r="D335" s="6" t="s">
        <v>68</v>
      </c>
      <c r="E335" s="6" t="s">
        <v>20</v>
      </c>
      <c r="F335" s="6" t="s">
        <v>38</v>
      </c>
      <c r="G335" s="6" t="s">
        <v>39</v>
      </c>
      <c r="H335" s="6" t="s">
        <v>23</v>
      </c>
      <c r="I335" s="7" t="n">
        <v>9.9</v>
      </c>
      <c r="J335" s="7" t="n">
        <v>18</v>
      </c>
      <c r="K335" s="6" t="s">
        <v>27</v>
      </c>
      <c r="L335" s="6" t="n">
        <v>273</v>
      </c>
      <c r="M335" s="7" t="n">
        <f aca="false">L335*J335</f>
        <v>4914</v>
      </c>
      <c r="N335" s="7" t="n">
        <f aca="false">L335*I335</f>
        <v>2702.7</v>
      </c>
      <c r="O335" s="7" t="n">
        <f aca="false">M335-N335</f>
        <v>2211.3</v>
      </c>
      <c r="P335" s="8" t="n">
        <f aca="false">IFERROR(O335/M335,0)</f>
        <v>0.45</v>
      </c>
    </row>
    <row r="336" customFormat="false" ht="15" hidden="false" customHeight="true" outlineLevel="0" collapsed="false">
      <c r="A336" s="3" t="s">
        <v>66</v>
      </c>
      <c r="B336" s="3" t="s">
        <v>67</v>
      </c>
      <c r="C336" s="3" t="s">
        <v>18</v>
      </c>
      <c r="D336" s="3" t="s">
        <v>68</v>
      </c>
      <c r="E336" s="3" t="s">
        <v>20</v>
      </c>
      <c r="F336" s="3" t="s">
        <v>38</v>
      </c>
      <c r="G336" s="3" t="s">
        <v>39</v>
      </c>
      <c r="H336" s="3" t="s">
        <v>23</v>
      </c>
      <c r="I336" s="4" t="n">
        <v>9.9</v>
      </c>
      <c r="J336" s="4" t="n">
        <v>18</v>
      </c>
      <c r="K336" s="3" t="s">
        <v>28</v>
      </c>
      <c r="L336" s="3" t="n">
        <v>200</v>
      </c>
      <c r="M336" s="4" t="n">
        <f aca="false">L336*J336</f>
        <v>3600</v>
      </c>
      <c r="N336" s="4" t="n">
        <f aca="false">L336*I336</f>
        <v>1980</v>
      </c>
      <c r="O336" s="4" t="n">
        <f aca="false">M336-N336</f>
        <v>1620</v>
      </c>
      <c r="P336" s="5" t="n">
        <f aca="false">IFERROR(O336/M336,0)</f>
        <v>0.45</v>
      </c>
    </row>
    <row r="337" customFormat="false" ht="15" hidden="false" customHeight="true" outlineLevel="0" collapsed="false">
      <c r="A337" s="6" t="s">
        <v>66</v>
      </c>
      <c r="B337" s="6" t="s">
        <v>67</v>
      </c>
      <c r="C337" s="6" t="s">
        <v>18</v>
      </c>
      <c r="D337" s="6" t="s">
        <v>68</v>
      </c>
      <c r="E337" s="6" t="s">
        <v>20</v>
      </c>
      <c r="F337" s="6" t="s">
        <v>38</v>
      </c>
      <c r="G337" s="6" t="s">
        <v>39</v>
      </c>
      <c r="H337" s="6" t="s">
        <v>23</v>
      </c>
      <c r="I337" s="7" t="n">
        <v>9.9</v>
      </c>
      <c r="J337" s="7" t="n">
        <v>18</v>
      </c>
      <c r="K337" s="6" t="s">
        <v>29</v>
      </c>
      <c r="L337" s="6" t="n">
        <v>193</v>
      </c>
      <c r="M337" s="7" t="n">
        <f aca="false">L337*J337</f>
        <v>3474</v>
      </c>
      <c r="N337" s="7" t="n">
        <f aca="false">L337*I337</f>
        <v>1910.7</v>
      </c>
      <c r="O337" s="7" t="n">
        <f aca="false">M337-N337</f>
        <v>1563.3</v>
      </c>
      <c r="P337" s="8" t="n">
        <f aca="false">IFERROR(O337/M337,0)</f>
        <v>0.45</v>
      </c>
    </row>
    <row r="338" customFormat="false" ht="15" hidden="false" customHeight="true" outlineLevel="0" collapsed="false">
      <c r="A338" s="3" t="s">
        <v>66</v>
      </c>
      <c r="B338" s="3" t="s">
        <v>67</v>
      </c>
      <c r="C338" s="3" t="s">
        <v>18</v>
      </c>
      <c r="D338" s="3" t="s">
        <v>68</v>
      </c>
      <c r="E338" s="3" t="s">
        <v>20</v>
      </c>
      <c r="F338" s="3" t="s">
        <v>40</v>
      </c>
      <c r="G338" s="3" t="s">
        <v>41</v>
      </c>
      <c r="H338" s="3" t="s">
        <v>42</v>
      </c>
      <c r="I338" s="4" t="n">
        <v>3.5</v>
      </c>
      <c r="J338" s="4" t="n">
        <v>6.5</v>
      </c>
      <c r="K338" s="3" t="s">
        <v>24</v>
      </c>
      <c r="L338" s="3" t="n">
        <v>176</v>
      </c>
      <c r="M338" s="4" t="n">
        <f aca="false">L338*J338</f>
        <v>1144</v>
      </c>
      <c r="N338" s="4" t="n">
        <f aca="false">L338*I338</f>
        <v>616</v>
      </c>
      <c r="O338" s="4" t="n">
        <f aca="false">M338-N338</f>
        <v>528</v>
      </c>
      <c r="P338" s="5" t="n">
        <f aca="false">IFERROR(O338/M338,0)</f>
        <v>0.461538461538462</v>
      </c>
    </row>
    <row r="339" customFormat="false" ht="15" hidden="false" customHeight="true" outlineLevel="0" collapsed="false">
      <c r="A339" s="6" t="s">
        <v>66</v>
      </c>
      <c r="B339" s="6" t="s">
        <v>67</v>
      </c>
      <c r="C339" s="6" t="s">
        <v>18</v>
      </c>
      <c r="D339" s="6" t="s">
        <v>68</v>
      </c>
      <c r="E339" s="6" t="s">
        <v>20</v>
      </c>
      <c r="F339" s="6" t="s">
        <v>40</v>
      </c>
      <c r="G339" s="6" t="s">
        <v>41</v>
      </c>
      <c r="H339" s="6" t="s">
        <v>42</v>
      </c>
      <c r="I339" s="7" t="n">
        <v>3.5</v>
      </c>
      <c r="J339" s="7" t="n">
        <v>6.5</v>
      </c>
      <c r="K339" s="6" t="s">
        <v>25</v>
      </c>
      <c r="L339" s="6" t="n">
        <v>150</v>
      </c>
      <c r="M339" s="7" t="n">
        <f aca="false">L339*J339</f>
        <v>975</v>
      </c>
      <c r="N339" s="7" t="n">
        <f aca="false">L339*I339</f>
        <v>525</v>
      </c>
      <c r="O339" s="7" t="n">
        <f aca="false">M339-N339</f>
        <v>450</v>
      </c>
      <c r="P339" s="8" t="n">
        <f aca="false">IFERROR(O339/M339,0)</f>
        <v>0.461538461538462</v>
      </c>
    </row>
    <row r="340" customFormat="false" ht="15" hidden="false" customHeight="true" outlineLevel="0" collapsed="false">
      <c r="A340" s="3" t="s">
        <v>66</v>
      </c>
      <c r="B340" s="3" t="s">
        <v>67</v>
      </c>
      <c r="C340" s="3" t="s">
        <v>18</v>
      </c>
      <c r="D340" s="3" t="s">
        <v>68</v>
      </c>
      <c r="E340" s="3" t="s">
        <v>20</v>
      </c>
      <c r="F340" s="3" t="s">
        <v>40</v>
      </c>
      <c r="G340" s="3" t="s">
        <v>41</v>
      </c>
      <c r="H340" s="3" t="s">
        <v>42</v>
      </c>
      <c r="I340" s="4" t="n">
        <v>3.5</v>
      </c>
      <c r="J340" s="4" t="n">
        <v>6.5</v>
      </c>
      <c r="K340" s="3" t="s">
        <v>26</v>
      </c>
      <c r="L340" s="3" t="n">
        <v>246</v>
      </c>
      <c r="M340" s="4" t="n">
        <f aca="false">L340*J340</f>
        <v>1599</v>
      </c>
      <c r="N340" s="4" t="n">
        <f aca="false">L340*I340</f>
        <v>861</v>
      </c>
      <c r="O340" s="4" t="n">
        <f aca="false">M340-N340</f>
        <v>738</v>
      </c>
      <c r="P340" s="5" t="n">
        <f aca="false">IFERROR(O340/M340,0)</f>
        <v>0.461538461538462</v>
      </c>
    </row>
    <row r="341" customFormat="false" ht="15" hidden="false" customHeight="true" outlineLevel="0" collapsed="false">
      <c r="A341" s="6" t="s">
        <v>66</v>
      </c>
      <c r="B341" s="6" t="s">
        <v>67</v>
      </c>
      <c r="C341" s="6" t="s">
        <v>18</v>
      </c>
      <c r="D341" s="6" t="s">
        <v>68</v>
      </c>
      <c r="E341" s="6" t="s">
        <v>20</v>
      </c>
      <c r="F341" s="6" t="s">
        <v>40</v>
      </c>
      <c r="G341" s="6" t="s">
        <v>41</v>
      </c>
      <c r="H341" s="6" t="s">
        <v>42</v>
      </c>
      <c r="I341" s="7" t="n">
        <v>3.5</v>
      </c>
      <c r="J341" s="7" t="n">
        <v>6.5</v>
      </c>
      <c r="K341" s="6" t="s">
        <v>27</v>
      </c>
      <c r="L341" s="6" t="n">
        <v>51</v>
      </c>
      <c r="M341" s="7" t="n">
        <f aca="false">L341*J341</f>
        <v>331.5</v>
      </c>
      <c r="N341" s="7" t="n">
        <f aca="false">L341*I341</f>
        <v>178.5</v>
      </c>
      <c r="O341" s="7" t="n">
        <f aca="false">M341-N341</f>
        <v>153</v>
      </c>
      <c r="P341" s="8" t="n">
        <f aca="false">IFERROR(O341/M341,0)</f>
        <v>0.461538461538462</v>
      </c>
    </row>
    <row r="342" customFormat="false" ht="15" hidden="false" customHeight="true" outlineLevel="0" collapsed="false">
      <c r="A342" s="3" t="s">
        <v>66</v>
      </c>
      <c r="B342" s="3" t="s">
        <v>67</v>
      </c>
      <c r="C342" s="3" t="s">
        <v>18</v>
      </c>
      <c r="D342" s="3" t="s">
        <v>68</v>
      </c>
      <c r="E342" s="3" t="s">
        <v>20</v>
      </c>
      <c r="F342" s="3" t="s">
        <v>40</v>
      </c>
      <c r="G342" s="3" t="s">
        <v>41</v>
      </c>
      <c r="H342" s="3" t="s">
        <v>42</v>
      </c>
      <c r="I342" s="4" t="n">
        <v>3.5</v>
      </c>
      <c r="J342" s="4" t="n">
        <v>6.5</v>
      </c>
      <c r="K342" s="3" t="s">
        <v>28</v>
      </c>
      <c r="L342" s="3" t="n">
        <v>230</v>
      </c>
      <c r="M342" s="4" t="n">
        <f aca="false">L342*J342</f>
        <v>1495</v>
      </c>
      <c r="N342" s="4" t="n">
        <f aca="false">L342*I342</f>
        <v>805</v>
      </c>
      <c r="O342" s="4" t="n">
        <f aca="false">M342-N342</f>
        <v>690</v>
      </c>
      <c r="P342" s="5" t="n">
        <f aca="false">IFERROR(O342/M342,0)</f>
        <v>0.461538461538462</v>
      </c>
    </row>
    <row r="343" customFormat="false" ht="15" hidden="false" customHeight="true" outlineLevel="0" collapsed="false">
      <c r="A343" s="6" t="s">
        <v>66</v>
      </c>
      <c r="B343" s="6" t="s">
        <v>67</v>
      </c>
      <c r="C343" s="6" t="s">
        <v>18</v>
      </c>
      <c r="D343" s="6" t="s">
        <v>68</v>
      </c>
      <c r="E343" s="6" t="s">
        <v>20</v>
      </c>
      <c r="F343" s="6" t="s">
        <v>40</v>
      </c>
      <c r="G343" s="6" t="s">
        <v>41</v>
      </c>
      <c r="H343" s="6" t="s">
        <v>42</v>
      </c>
      <c r="I343" s="7" t="n">
        <v>3.5</v>
      </c>
      <c r="J343" s="7" t="n">
        <v>6.5</v>
      </c>
      <c r="K343" s="6" t="s">
        <v>29</v>
      </c>
      <c r="L343" s="6" t="n">
        <v>358</v>
      </c>
      <c r="M343" s="7" t="n">
        <f aca="false">L343*J343</f>
        <v>2327</v>
      </c>
      <c r="N343" s="7" t="n">
        <f aca="false">L343*I343</f>
        <v>1253</v>
      </c>
      <c r="O343" s="7" t="n">
        <f aca="false">M343-N343</f>
        <v>1074</v>
      </c>
      <c r="P343" s="8" t="n">
        <f aca="false">IFERROR(O343/M343,0)</f>
        <v>0.461538461538462</v>
      </c>
    </row>
    <row r="344" customFormat="false" ht="15" hidden="false" customHeight="true" outlineLevel="0" collapsed="false">
      <c r="A344" s="3" t="s">
        <v>66</v>
      </c>
      <c r="B344" s="3" t="s">
        <v>67</v>
      </c>
      <c r="C344" s="3" t="s">
        <v>18</v>
      </c>
      <c r="D344" s="3" t="s">
        <v>68</v>
      </c>
      <c r="E344" s="3" t="s">
        <v>20</v>
      </c>
      <c r="F344" s="3" t="s">
        <v>43</v>
      </c>
      <c r="G344" s="3" t="s">
        <v>44</v>
      </c>
      <c r="H344" s="3" t="s">
        <v>42</v>
      </c>
      <c r="I344" s="4" t="n">
        <v>2</v>
      </c>
      <c r="J344" s="4" t="n">
        <v>3.8</v>
      </c>
      <c r="K344" s="3" t="s">
        <v>24</v>
      </c>
      <c r="L344" s="3" t="n">
        <v>209</v>
      </c>
      <c r="M344" s="4" t="n">
        <f aca="false">L344*J344</f>
        <v>794.2</v>
      </c>
      <c r="N344" s="4" t="n">
        <f aca="false">L344*I344</f>
        <v>418</v>
      </c>
      <c r="O344" s="4" t="n">
        <f aca="false">M344-N344</f>
        <v>376.2</v>
      </c>
      <c r="P344" s="5" t="n">
        <f aca="false">IFERROR(O344/M344,0)</f>
        <v>0.473684210526316</v>
      </c>
    </row>
    <row r="345" customFormat="false" ht="15" hidden="false" customHeight="true" outlineLevel="0" collapsed="false">
      <c r="A345" s="6" t="s">
        <v>66</v>
      </c>
      <c r="B345" s="6" t="s">
        <v>67</v>
      </c>
      <c r="C345" s="6" t="s">
        <v>18</v>
      </c>
      <c r="D345" s="6" t="s">
        <v>68</v>
      </c>
      <c r="E345" s="6" t="s">
        <v>20</v>
      </c>
      <c r="F345" s="6" t="s">
        <v>43</v>
      </c>
      <c r="G345" s="6" t="s">
        <v>44</v>
      </c>
      <c r="H345" s="6" t="s">
        <v>42</v>
      </c>
      <c r="I345" s="7" t="n">
        <v>2</v>
      </c>
      <c r="J345" s="7" t="n">
        <v>3.8</v>
      </c>
      <c r="K345" s="6" t="s">
        <v>25</v>
      </c>
      <c r="L345" s="6" t="n">
        <v>191</v>
      </c>
      <c r="M345" s="7" t="n">
        <f aca="false">L345*J345</f>
        <v>725.8</v>
      </c>
      <c r="N345" s="7" t="n">
        <f aca="false">L345*I345</f>
        <v>382</v>
      </c>
      <c r="O345" s="7" t="n">
        <f aca="false">M345-N345</f>
        <v>343.8</v>
      </c>
      <c r="P345" s="8" t="n">
        <f aca="false">IFERROR(O345/M345,0)</f>
        <v>0.473684210526316</v>
      </c>
    </row>
    <row r="346" customFormat="false" ht="15" hidden="false" customHeight="true" outlineLevel="0" collapsed="false">
      <c r="A346" s="3" t="s">
        <v>66</v>
      </c>
      <c r="B346" s="3" t="s">
        <v>67</v>
      </c>
      <c r="C346" s="3" t="s">
        <v>18</v>
      </c>
      <c r="D346" s="3" t="s">
        <v>68</v>
      </c>
      <c r="E346" s="3" t="s">
        <v>20</v>
      </c>
      <c r="F346" s="3" t="s">
        <v>43</v>
      </c>
      <c r="G346" s="3" t="s">
        <v>44</v>
      </c>
      <c r="H346" s="3" t="s">
        <v>42</v>
      </c>
      <c r="I346" s="4" t="n">
        <v>2</v>
      </c>
      <c r="J346" s="4" t="n">
        <v>3.8</v>
      </c>
      <c r="K346" s="3" t="s">
        <v>26</v>
      </c>
      <c r="L346" s="3" t="n">
        <v>195</v>
      </c>
      <c r="M346" s="4" t="n">
        <f aca="false">L346*J346</f>
        <v>741</v>
      </c>
      <c r="N346" s="4" t="n">
        <f aca="false">L346*I346</f>
        <v>390</v>
      </c>
      <c r="O346" s="4" t="n">
        <f aca="false">M346-N346</f>
        <v>351</v>
      </c>
      <c r="P346" s="5" t="n">
        <f aca="false">IFERROR(O346/M346,0)</f>
        <v>0.473684210526316</v>
      </c>
    </row>
    <row r="347" customFormat="false" ht="15" hidden="false" customHeight="true" outlineLevel="0" collapsed="false">
      <c r="A347" s="6" t="s">
        <v>66</v>
      </c>
      <c r="B347" s="6" t="s">
        <v>67</v>
      </c>
      <c r="C347" s="6" t="s">
        <v>18</v>
      </c>
      <c r="D347" s="6" t="s">
        <v>68</v>
      </c>
      <c r="E347" s="6" t="s">
        <v>20</v>
      </c>
      <c r="F347" s="6" t="s">
        <v>43</v>
      </c>
      <c r="G347" s="6" t="s">
        <v>44</v>
      </c>
      <c r="H347" s="6" t="s">
        <v>42</v>
      </c>
      <c r="I347" s="7" t="n">
        <v>2</v>
      </c>
      <c r="J347" s="7" t="n">
        <v>3.8</v>
      </c>
      <c r="K347" s="6" t="s">
        <v>27</v>
      </c>
      <c r="L347" s="6" t="n">
        <v>42</v>
      </c>
      <c r="M347" s="7" t="n">
        <f aca="false">L347*J347</f>
        <v>159.6</v>
      </c>
      <c r="N347" s="7" t="n">
        <f aca="false">L347*I347</f>
        <v>84</v>
      </c>
      <c r="O347" s="7" t="n">
        <f aca="false">M347-N347</f>
        <v>75.6</v>
      </c>
      <c r="P347" s="8" t="n">
        <f aca="false">IFERROR(O347/M347,0)</f>
        <v>0.473684210526316</v>
      </c>
    </row>
    <row r="348" customFormat="false" ht="15" hidden="false" customHeight="true" outlineLevel="0" collapsed="false">
      <c r="A348" s="3" t="s">
        <v>66</v>
      </c>
      <c r="B348" s="3" t="s">
        <v>67</v>
      </c>
      <c r="C348" s="3" t="s">
        <v>18</v>
      </c>
      <c r="D348" s="3" t="s">
        <v>68</v>
      </c>
      <c r="E348" s="3" t="s">
        <v>20</v>
      </c>
      <c r="F348" s="3" t="s">
        <v>43</v>
      </c>
      <c r="G348" s="3" t="s">
        <v>44</v>
      </c>
      <c r="H348" s="3" t="s">
        <v>42</v>
      </c>
      <c r="I348" s="4" t="n">
        <v>2</v>
      </c>
      <c r="J348" s="4" t="n">
        <v>3.8</v>
      </c>
      <c r="K348" s="3" t="s">
        <v>28</v>
      </c>
      <c r="L348" s="3" t="n">
        <v>144</v>
      </c>
      <c r="M348" s="4" t="n">
        <f aca="false">L348*J348</f>
        <v>547.2</v>
      </c>
      <c r="N348" s="4" t="n">
        <f aca="false">L348*I348</f>
        <v>288</v>
      </c>
      <c r="O348" s="4" t="n">
        <f aca="false">M348-N348</f>
        <v>259.2</v>
      </c>
      <c r="P348" s="5" t="n">
        <f aca="false">IFERROR(O348/M348,0)</f>
        <v>0.473684210526316</v>
      </c>
    </row>
    <row r="349" customFormat="false" ht="15" hidden="false" customHeight="true" outlineLevel="0" collapsed="false">
      <c r="A349" s="6" t="s">
        <v>66</v>
      </c>
      <c r="B349" s="6" t="s">
        <v>67</v>
      </c>
      <c r="C349" s="6" t="s">
        <v>18</v>
      </c>
      <c r="D349" s="6" t="s">
        <v>68</v>
      </c>
      <c r="E349" s="6" t="s">
        <v>20</v>
      </c>
      <c r="F349" s="6" t="s">
        <v>43</v>
      </c>
      <c r="G349" s="6" t="s">
        <v>44</v>
      </c>
      <c r="H349" s="6" t="s">
        <v>42</v>
      </c>
      <c r="I349" s="7" t="n">
        <v>2</v>
      </c>
      <c r="J349" s="7" t="n">
        <v>3.8</v>
      </c>
      <c r="K349" s="6" t="s">
        <v>29</v>
      </c>
      <c r="L349" s="6" t="n">
        <v>201</v>
      </c>
      <c r="M349" s="7" t="n">
        <f aca="false">L349*J349</f>
        <v>763.8</v>
      </c>
      <c r="N349" s="7" t="n">
        <f aca="false">L349*I349</f>
        <v>402</v>
      </c>
      <c r="O349" s="7" t="n">
        <f aca="false">M349-N349</f>
        <v>361.8</v>
      </c>
      <c r="P349" s="8" t="n">
        <f aca="false">IFERROR(O349/M349,0)</f>
        <v>0.473684210526316</v>
      </c>
    </row>
    <row r="350" customFormat="false" ht="15" hidden="false" customHeight="true" outlineLevel="0" collapsed="false">
      <c r="A350" s="3" t="s">
        <v>66</v>
      </c>
      <c r="B350" s="3" t="s">
        <v>67</v>
      </c>
      <c r="C350" s="3" t="s">
        <v>18</v>
      </c>
      <c r="D350" s="3" t="s">
        <v>68</v>
      </c>
      <c r="E350" s="3" t="s">
        <v>20</v>
      </c>
      <c r="F350" s="3" t="s">
        <v>45</v>
      </c>
      <c r="G350" s="3" t="s">
        <v>46</v>
      </c>
      <c r="H350" s="3" t="s">
        <v>42</v>
      </c>
      <c r="I350" s="4" t="n">
        <v>5</v>
      </c>
      <c r="J350" s="4" t="n">
        <v>10</v>
      </c>
      <c r="K350" s="3" t="s">
        <v>24</v>
      </c>
      <c r="L350" s="3" t="n">
        <v>287</v>
      </c>
      <c r="M350" s="4" t="n">
        <f aca="false">L350*J350</f>
        <v>2870</v>
      </c>
      <c r="N350" s="4" t="n">
        <f aca="false">L350*I350</f>
        <v>1435</v>
      </c>
      <c r="O350" s="4" t="n">
        <f aca="false">M350-N350</f>
        <v>1435</v>
      </c>
      <c r="P350" s="5" t="n">
        <f aca="false">IFERROR(O350/M350,0)</f>
        <v>0.5</v>
      </c>
    </row>
    <row r="351" customFormat="false" ht="15" hidden="false" customHeight="true" outlineLevel="0" collapsed="false">
      <c r="A351" s="6" t="s">
        <v>66</v>
      </c>
      <c r="B351" s="6" t="s">
        <v>67</v>
      </c>
      <c r="C351" s="6" t="s">
        <v>18</v>
      </c>
      <c r="D351" s="6" t="s">
        <v>68</v>
      </c>
      <c r="E351" s="6" t="s">
        <v>20</v>
      </c>
      <c r="F351" s="6" t="s">
        <v>45</v>
      </c>
      <c r="G351" s="6" t="s">
        <v>46</v>
      </c>
      <c r="H351" s="6" t="s">
        <v>42</v>
      </c>
      <c r="I351" s="7" t="n">
        <v>5</v>
      </c>
      <c r="J351" s="7" t="n">
        <v>10</v>
      </c>
      <c r="K351" s="6" t="s">
        <v>25</v>
      </c>
      <c r="L351" s="6" t="n">
        <v>150</v>
      </c>
      <c r="M351" s="7" t="n">
        <f aca="false">L351*J351</f>
        <v>1500</v>
      </c>
      <c r="N351" s="7" t="n">
        <f aca="false">L351*I351</f>
        <v>750</v>
      </c>
      <c r="O351" s="7" t="n">
        <f aca="false">M351-N351</f>
        <v>750</v>
      </c>
      <c r="P351" s="8" t="n">
        <f aca="false">IFERROR(O351/M351,0)</f>
        <v>0.5</v>
      </c>
    </row>
    <row r="352" customFormat="false" ht="15" hidden="false" customHeight="true" outlineLevel="0" collapsed="false">
      <c r="A352" s="3" t="s">
        <v>66</v>
      </c>
      <c r="B352" s="3" t="s">
        <v>67</v>
      </c>
      <c r="C352" s="3" t="s">
        <v>18</v>
      </c>
      <c r="D352" s="3" t="s">
        <v>68</v>
      </c>
      <c r="E352" s="3" t="s">
        <v>20</v>
      </c>
      <c r="F352" s="3" t="s">
        <v>45</v>
      </c>
      <c r="G352" s="3" t="s">
        <v>46</v>
      </c>
      <c r="H352" s="3" t="s">
        <v>42</v>
      </c>
      <c r="I352" s="4" t="n">
        <v>5</v>
      </c>
      <c r="J352" s="4" t="n">
        <v>10</v>
      </c>
      <c r="K352" s="3" t="s">
        <v>26</v>
      </c>
      <c r="L352" s="3" t="n">
        <v>313</v>
      </c>
      <c r="M352" s="4" t="n">
        <f aca="false">L352*J352</f>
        <v>3130</v>
      </c>
      <c r="N352" s="4" t="n">
        <f aca="false">L352*I352</f>
        <v>1565</v>
      </c>
      <c r="O352" s="4" t="n">
        <f aca="false">M352-N352</f>
        <v>1565</v>
      </c>
      <c r="P352" s="5" t="n">
        <f aca="false">IFERROR(O352/M352,0)</f>
        <v>0.5</v>
      </c>
    </row>
    <row r="353" customFormat="false" ht="15" hidden="false" customHeight="true" outlineLevel="0" collapsed="false">
      <c r="A353" s="6" t="s">
        <v>66</v>
      </c>
      <c r="B353" s="6" t="s">
        <v>67</v>
      </c>
      <c r="C353" s="6" t="s">
        <v>18</v>
      </c>
      <c r="D353" s="6" t="s">
        <v>68</v>
      </c>
      <c r="E353" s="6" t="s">
        <v>20</v>
      </c>
      <c r="F353" s="6" t="s">
        <v>45</v>
      </c>
      <c r="G353" s="6" t="s">
        <v>46</v>
      </c>
      <c r="H353" s="6" t="s">
        <v>42</v>
      </c>
      <c r="I353" s="7" t="n">
        <v>5</v>
      </c>
      <c r="J353" s="7" t="n">
        <v>10</v>
      </c>
      <c r="K353" s="6" t="s">
        <v>27</v>
      </c>
      <c r="L353" s="6" t="n">
        <v>31</v>
      </c>
      <c r="M353" s="7" t="n">
        <f aca="false">L353*J353</f>
        <v>310</v>
      </c>
      <c r="N353" s="7" t="n">
        <f aca="false">L353*I353</f>
        <v>155</v>
      </c>
      <c r="O353" s="7" t="n">
        <f aca="false">M353-N353</f>
        <v>155</v>
      </c>
      <c r="P353" s="8" t="n">
        <f aca="false">IFERROR(O353/M353,0)</f>
        <v>0.5</v>
      </c>
    </row>
    <row r="354" customFormat="false" ht="15" hidden="false" customHeight="true" outlineLevel="0" collapsed="false">
      <c r="A354" s="3" t="s">
        <v>66</v>
      </c>
      <c r="B354" s="3" t="s">
        <v>67</v>
      </c>
      <c r="C354" s="3" t="s">
        <v>18</v>
      </c>
      <c r="D354" s="3" t="s">
        <v>68</v>
      </c>
      <c r="E354" s="3" t="s">
        <v>20</v>
      </c>
      <c r="F354" s="3" t="s">
        <v>45</v>
      </c>
      <c r="G354" s="3" t="s">
        <v>46</v>
      </c>
      <c r="H354" s="3" t="s">
        <v>42</v>
      </c>
      <c r="I354" s="4" t="n">
        <v>5</v>
      </c>
      <c r="J354" s="4" t="n">
        <v>10</v>
      </c>
      <c r="K354" s="3" t="s">
        <v>28</v>
      </c>
      <c r="L354" s="3" t="n">
        <v>213</v>
      </c>
      <c r="M354" s="4" t="n">
        <f aca="false">L354*J354</f>
        <v>2130</v>
      </c>
      <c r="N354" s="4" t="n">
        <f aca="false">L354*I354</f>
        <v>1065</v>
      </c>
      <c r="O354" s="4" t="n">
        <f aca="false">M354-N354</f>
        <v>1065</v>
      </c>
      <c r="P354" s="5" t="n">
        <f aca="false">IFERROR(O354/M354,0)</f>
        <v>0.5</v>
      </c>
    </row>
    <row r="355" customFormat="false" ht="15" hidden="false" customHeight="true" outlineLevel="0" collapsed="false">
      <c r="A355" s="6" t="s">
        <v>66</v>
      </c>
      <c r="B355" s="6" t="s">
        <v>67</v>
      </c>
      <c r="C355" s="6" t="s">
        <v>18</v>
      </c>
      <c r="D355" s="6" t="s">
        <v>68</v>
      </c>
      <c r="E355" s="6" t="s">
        <v>20</v>
      </c>
      <c r="F355" s="6" t="s">
        <v>45</v>
      </c>
      <c r="G355" s="6" t="s">
        <v>46</v>
      </c>
      <c r="H355" s="6" t="s">
        <v>42</v>
      </c>
      <c r="I355" s="7" t="n">
        <v>5</v>
      </c>
      <c r="J355" s="7" t="n">
        <v>10</v>
      </c>
      <c r="K355" s="6" t="s">
        <v>29</v>
      </c>
      <c r="L355" s="6" t="n">
        <v>305</v>
      </c>
      <c r="M355" s="7" t="n">
        <f aca="false">L355*J355</f>
        <v>3050</v>
      </c>
      <c r="N355" s="7" t="n">
        <f aca="false">L355*I355</f>
        <v>1525</v>
      </c>
      <c r="O355" s="7" t="n">
        <f aca="false">M355-N355</f>
        <v>1525</v>
      </c>
      <c r="P355" s="8" t="n">
        <f aca="false">IFERROR(O355/M355,0)</f>
        <v>0.5</v>
      </c>
    </row>
    <row r="356" customFormat="false" ht="15" hidden="false" customHeight="true" outlineLevel="0" collapsed="false">
      <c r="A356" s="3" t="s">
        <v>66</v>
      </c>
      <c r="B356" s="3" t="s">
        <v>67</v>
      </c>
      <c r="C356" s="3" t="s">
        <v>18</v>
      </c>
      <c r="D356" s="3" t="s">
        <v>68</v>
      </c>
      <c r="E356" s="3" t="s">
        <v>20</v>
      </c>
      <c r="F356" s="3" t="s">
        <v>47</v>
      </c>
      <c r="G356" s="3" t="s">
        <v>48</v>
      </c>
      <c r="H356" s="3" t="s">
        <v>42</v>
      </c>
      <c r="I356" s="4" t="n">
        <v>2.8</v>
      </c>
      <c r="J356" s="4" t="n">
        <v>5.5</v>
      </c>
      <c r="K356" s="3" t="s">
        <v>24</v>
      </c>
      <c r="L356" s="3" t="n">
        <v>194</v>
      </c>
      <c r="M356" s="4" t="n">
        <f aca="false">L356*J356</f>
        <v>1067</v>
      </c>
      <c r="N356" s="4" t="n">
        <f aca="false">L356*I356</f>
        <v>543.2</v>
      </c>
      <c r="O356" s="4" t="n">
        <f aca="false">M356-N356</f>
        <v>523.8</v>
      </c>
      <c r="P356" s="5" t="n">
        <f aca="false">IFERROR(O356/M356,0)</f>
        <v>0.490909090909091</v>
      </c>
    </row>
    <row r="357" customFormat="false" ht="15" hidden="false" customHeight="true" outlineLevel="0" collapsed="false">
      <c r="A357" s="6" t="s">
        <v>66</v>
      </c>
      <c r="B357" s="6" t="s">
        <v>67</v>
      </c>
      <c r="C357" s="6" t="s">
        <v>18</v>
      </c>
      <c r="D357" s="6" t="s">
        <v>68</v>
      </c>
      <c r="E357" s="6" t="s">
        <v>20</v>
      </c>
      <c r="F357" s="6" t="s">
        <v>47</v>
      </c>
      <c r="G357" s="6" t="s">
        <v>48</v>
      </c>
      <c r="H357" s="6" t="s">
        <v>42</v>
      </c>
      <c r="I357" s="7" t="n">
        <v>2.8</v>
      </c>
      <c r="J357" s="7" t="n">
        <v>5.5</v>
      </c>
      <c r="K357" s="6" t="s">
        <v>25</v>
      </c>
      <c r="L357" s="6" t="n">
        <v>212</v>
      </c>
      <c r="M357" s="7" t="n">
        <f aca="false">L357*J357</f>
        <v>1166</v>
      </c>
      <c r="N357" s="7" t="n">
        <f aca="false">L357*I357</f>
        <v>593.6</v>
      </c>
      <c r="O357" s="7" t="n">
        <f aca="false">M357-N357</f>
        <v>572.4</v>
      </c>
      <c r="P357" s="8" t="n">
        <f aca="false">IFERROR(O357/M357,0)</f>
        <v>0.490909090909091</v>
      </c>
    </row>
    <row r="358" customFormat="false" ht="15" hidden="false" customHeight="true" outlineLevel="0" collapsed="false">
      <c r="A358" s="3" t="s">
        <v>66</v>
      </c>
      <c r="B358" s="3" t="s">
        <v>67</v>
      </c>
      <c r="C358" s="3" t="s">
        <v>18</v>
      </c>
      <c r="D358" s="3" t="s">
        <v>68</v>
      </c>
      <c r="E358" s="3" t="s">
        <v>20</v>
      </c>
      <c r="F358" s="3" t="s">
        <v>47</v>
      </c>
      <c r="G358" s="3" t="s">
        <v>48</v>
      </c>
      <c r="H358" s="3" t="s">
        <v>42</v>
      </c>
      <c r="I358" s="4" t="n">
        <v>2.8</v>
      </c>
      <c r="J358" s="4" t="n">
        <v>5.5</v>
      </c>
      <c r="K358" s="3" t="s">
        <v>26</v>
      </c>
      <c r="L358" s="3" t="n">
        <v>229</v>
      </c>
      <c r="M358" s="4" t="n">
        <f aca="false">L358*J358</f>
        <v>1259.5</v>
      </c>
      <c r="N358" s="4" t="n">
        <f aca="false">L358*I358</f>
        <v>641.2</v>
      </c>
      <c r="O358" s="4" t="n">
        <f aca="false">M358-N358</f>
        <v>618.3</v>
      </c>
      <c r="P358" s="5" t="n">
        <f aca="false">IFERROR(O358/M358,0)</f>
        <v>0.490909090909091</v>
      </c>
    </row>
    <row r="359" customFormat="false" ht="15" hidden="false" customHeight="true" outlineLevel="0" collapsed="false">
      <c r="A359" s="6" t="s">
        <v>66</v>
      </c>
      <c r="B359" s="6" t="s">
        <v>67</v>
      </c>
      <c r="C359" s="6" t="s">
        <v>18</v>
      </c>
      <c r="D359" s="6" t="s">
        <v>68</v>
      </c>
      <c r="E359" s="6" t="s">
        <v>20</v>
      </c>
      <c r="F359" s="6" t="s">
        <v>47</v>
      </c>
      <c r="G359" s="6" t="s">
        <v>48</v>
      </c>
      <c r="H359" s="6" t="s">
        <v>42</v>
      </c>
      <c r="I359" s="7" t="n">
        <v>2.8</v>
      </c>
      <c r="J359" s="7" t="n">
        <v>5.5</v>
      </c>
      <c r="K359" s="6" t="s">
        <v>27</v>
      </c>
      <c r="L359" s="6" t="n">
        <v>209</v>
      </c>
      <c r="M359" s="7" t="n">
        <f aca="false">L359*J359</f>
        <v>1149.5</v>
      </c>
      <c r="N359" s="7" t="n">
        <f aca="false">L359*I359</f>
        <v>585.2</v>
      </c>
      <c r="O359" s="7" t="n">
        <f aca="false">M359-N359</f>
        <v>564.3</v>
      </c>
      <c r="P359" s="8" t="n">
        <f aca="false">IFERROR(O359/M359,0)</f>
        <v>0.490909090909091</v>
      </c>
    </row>
    <row r="360" customFormat="false" ht="15" hidden="false" customHeight="true" outlineLevel="0" collapsed="false">
      <c r="A360" s="3" t="s">
        <v>66</v>
      </c>
      <c r="B360" s="3" t="s">
        <v>67</v>
      </c>
      <c r="C360" s="3" t="s">
        <v>18</v>
      </c>
      <c r="D360" s="3" t="s">
        <v>68</v>
      </c>
      <c r="E360" s="3" t="s">
        <v>20</v>
      </c>
      <c r="F360" s="3" t="s">
        <v>47</v>
      </c>
      <c r="G360" s="3" t="s">
        <v>48</v>
      </c>
      <c r="H360" s="3" t="s">
        <v>42</v>
      </c>
      <c r="I360" s="4" t="n">
        <v>2.8</v>
      </c>
      <c r="J360" s="4" t="n">
        <v>5.5</v>
      </c>
      <c r="K360" s="3" t="s">
        <v>28</v>
      </c>
      <c r="L360" s="3" t="n">
        <v>312</v>
      </c>
      <c r="M360" s="4" t="n">
        <f aca="false">L360*J360</f>
        <v>1716</v>
      </c>
      <c r="N360" s="4" t="n">
        <f aca="false">L360*I360</f>
        <v>873.6</v>
      </c>
      <c r="O360" s="4" t="n">
        <f aca="false">M360-N360</f>
        <v>842.4</v>
      </c>
      <c r="P360" s="5" t="n">
        <f aca="false">IFERROR(O360/M360,0)</f>
        <v>0.490909090909091</v>
      </c>
    </row>
    <row r="361" customFormat="false" ht="15" hidden="false" customHeight="true" outlineLevel="0" collapsed="false">
      <c r="A361" s="6" t="s">
        <v>66</v>
      </c>
      <c r="B361" s="6" t="s">
        <v>67</v>
      </c>
      <c r="C361" s="6" t="s">
        <v>18</v>
      </c>
      <c r="D361" s="6" t="s">
        <v>68</v>
      </c>
      <c r="E361" s="6" t="s">
        <v>20</v>
      </c>
      <c r="F361" s="6" t="s">
        <v>47</v>
      </c>
      <c r="G361" s="6" t="s">
        <v>48</v>
      </c>
      <c r="H361" s="6" t="s">
        <v>42</v>
      </c>
      <c r="I361" s="7" t="n">
        <v>2.8</v>
      </c>
      <c r="J361" s="7" t="n">
        <v>5.5</v>
      </c>
      <c r="K361" s="6" t="s">
        <v>29</v>
      </c>
      <c r="L361" s="6" t="n">
        <v>239</v>
      </c>
      <c r="M361" s="7" t="n">
        <f aca="false">L361*J361</f>
        <v>1314.5</v>
      </c>
      <c r="N361" s="7" t="n">
        <f aca="false">L361*I361</f>
        <v>669.2</v>
      </c>
      <c r="O361" s="7" t="n">
        <f aca="false">M361-N361</f>
        <v>645.3</v>
      </c>
      <c r="P361" s="8" t="n">
        <f aca="false">IFERROR(O361/M361,0)</f>
        <v>0.490909090909091</v>
      </c>
    </row>
    <row r="362" customFormat="false" ht="15" hidden="false" customHeight="true" outlineLevel="0" collapsed="false">
      <c r="A362" s="3" t="s">
        <v>69</v>
      </c>
      <c r="B362" s="3" t="s">
        <v>70</v>
      </c>
      <c r="C362" s="3" t="s">
        <v>18</v>
      </c>
      <c r="D362" s="3" t="s">
        <v>71</v>
      </c>
      <c r="E362" s="3" t="s">
        <v>56</v>
      </c>
      <c r="F362" s="3" t="s">
        <v>21</v>
      </c>
      <c r="G362" s="3" t="s">
        <v>22</v>
      </c>
      <c r="H362" s="3" t="s">
        <v>23</v>
      </c>
      <c r="I362" s="4" t="n">
        <v>8.99</v>
      </c>
      <c r="J362" s="4" t="n">
        <v>22</v>
      </c>
      <c r="K362" s="3" t="s">
        <v>24</v>
      </c>
      <c r="L362" s="3" t="n">
        <v>141</v>
      </c>
      <c r="M362" s="4" t="n">
        <f aca="false">L362*J362</f>
        <v>3102</v>
      </c>
      <c r="N362" s="4" t="n">
        <f aca="false">L362*I362</f>
        <v>1267.59</v>
      </c>
      <c r="O362" s="4" t="n">
        <f aca="false">M362-N362</f>
        <v>1834.41</v>
      </c>
      <c r="P362" s="5" t="n">
        <f aca="false">IFERROR(O362/M362,0)</f>
        <v>0.591363636363636</v>
      </c>
    </row>
    <row r="363" customFormat="false" ht="15" hidden="false" customHeight="true" outlineLevel="0" collapsed="false">
      <c r="A363" s="6" t="s">
        <v>69</v>
      </c>
      <c r="B363" s="6" t="s">
        <v>70</v>
      </c>
      <c r="C363" s="6" t="s">
        <v>18</v>
      </c>
      <c r="D363" s="6" t="s">
        <v>71</v>
      </c>
      <c r="E363" s="6" t="s">
        <v>56</v>
      </c>
      <c r="F363" s="6" t="s">
        <v>21</v>
      </c>
      <c r="G363" s="6" t="s">
        <v>22</v>
      </c>
      <c r="H363" s="6" t="s">
        <v>23</v>
      </c>
      <c r="I363" s="7" t="n">
        <v>8.99</v>
      </c>
      <c r="J363" s="7" t="n">
        <v>22</v>
      </c>
      <c r="K363" s="6" t="s">
        <v>25</v>
      </c>
      <c r="L363" s="6" t="n">
        <v>121</v>
      </c>
      <c r="M363" s="7" t="n">
        <f aca="false">L363*J363</f>
        <v>2662</v>
      </c>
      <c r="N363" s="7" t="n">
        <f aca="false">L363*I363</f>
        <v>1087.79</v>
      </c>
      <c r="O363" s="7" t="n">
        <f aca="false">M363-N363</f>
        <v>1574.21</v>
      </c>
      <c r="P363" s="8" t="n">
        <f aca="false">IFERROR(O363/M363,0)</f>
        <v>0.591363636363636</v>
      </c>
    </row>
    <row r="364" customFormat="false" ht="15" hidden="false" customHeight="true" outlineLevel="0" collapsed="false">
      <c r="A364" s="3" t="s">
        <v>69</v>
      </c>
      <c r="B364" s="3" t="s">
        <v>70</v>
      </c>
      <c r="C364" s="3" t="s">
        <v>18</v>
      </c>
      <c r="D364" s="3" t="s">
        <v>71</v>
      </c>
      <c r="E364" s="3" t="s">
        <v>56</v>
      </c>
      <c r="F364" s="3" t="s">
        <v>21</v>
      </c>
      <c r="G364" s="3" t="s">
        <v>22</v>
      </c>
      <c r="H364" s="3" t="s">
        <v>23</v>
      </c>
      <c r="I364" s="4" t="n">
        <v>8.99</v>
      </c>
      <c r="J364" s="4" t="n">
        <v>22</v>
      </c>
      <c r="K364" s="3" t="s">
        <v>26</v>
      </c>
      <c r="L364" s="3" t="n">
        <v>107</v>
      </c>
      <c r="M364" s="4" t="n">
        <f aca="false">L364*J364</f>
        <v>2354</v>
      </c>
      <c r="N364" s="4" t="n">
        <f aca="false">L364*I364</f>
        <v>961.93</v>
      </c>
      <c r="O364" s="4" t="n">
        <f aca="false">M364-N364</f>
        <v>1392.07</v>
      </c>
      <c r="P364" s="5" t="n">
        <f aca="false">IFERROR(O364/M364,0)</f>
        <v>0.591363636363636</v>
      </c>
    </row>
    <row r="365" customFormat="false" ht="15" hidden="false" customHeight="true" outlineLevel="0" collapsed="false">
      <c r="A365" s="6" t="s">
        <v>69</v>
      </c>
      <c r="B365" s="6" t="s">
        <v>70</v>
      </c>
      <c r="C365" s="6" t="s">
        <v>18</v>
      </c>
      <c r="D365" s="6" t="s">
        <v>71</v>
      </c>
      <c r="E365" s="6" t="s">
        <v>56</v>
      </c>
      <c r="F365" s="6" t="s">
        <v>21</v>
      </c>
      <c r="G365" s="6" t="s">
        <v>22</v>
      </c>
      <c r="H365" s="6" t="s">
        <v>23</v>
      </c>
      <c r="I365" s="7" t="n">
        <v>8.99</v>
      </c>
      <c r="J365" s="7" t="n">
        <v>22</v>
      </c>
      <c r="K365" s="6" t="s">
        <v>27</v>
      </c>
      <c r="L365" s="6" t="n">
        <v>126</v>
      </c>
      <c r="M365" s="7" t="n">
        <f aca="false">L365*J365</f>
        <v>2772</v>
      </c>
      <c r="N365" s="7" t="n">
        <f aca="false">L365*I365</f>
        <v>1132.74</v>
      </c>
      <c r="O365" s="7" t="n">
        <f aca="false">M365-N365</f>
        <v>1639.26</v>
      </c>
      <c r="P365" s="8" t="n">
        <f aca="false">IFERROR(O365/M365,0)</f>
        <v>0.591363636363636</v>
      </c>
    </row>
    <row r="366" customFormat="false" ht="15" hidden="false" customHeight="true" outlineLevel="0" collapsed="false">
      <c r="A366" s="3" t="s">
        <v>69</v>
      </c>
      <c r="B366" s="3" t="s">
        <v>70</v>
      </c>
      <c r="C366" s="3" t="s">
        <v>18</v>
      </c>
      <c r="D366" s="3" t="s">
        <v>71</v>
      </c>
      <c r="E366" s="3" t="s">
        <v>56</v>
      </c>
      <c r="F366" s="3" t="s">
        <v>21</v>
      </c>
      <c r="G366" s="3" t="s">
        <v>22</v>
      </c>
      <c r="H366" s="3" t="s">
        <v>23</v>
      </c>
      <c r="I366" s="4" t="n">
        <v>8.99</v>
      </c>
      <c r="J366" s="4" t="n">
        <v>22</v>
      </c>
      <c r="K366" s="3" t="s">
        <v>28</v>
      </c>
      <c r="L366" s="3" t="n">
        <v>173</v>
      </c>
      <c r="M366" s="4" t="n">
        <f aca="false">L366*J366</f>
        <v>3806</v>
      </c>
      <c r="N366" s="4" t="n">
        <f aca="false">L366*I366</f>
        <v>1555.27</v>
      </c>
      <c r="O366" s="4" t="n">
        <f aca="false">M366-N366</f>
        <v>2250.73</v>
      </c>
      <c r="P366" s="5" t="n">
        <f aca="false">IFERROR(O366/M366,0)</f>
        <v>0.591363636363636</v>
      </c>
    </row>
    <row r="367" customFormat="false" ht="15" hidden="false" customHeight="true" outlineLevel="0" collapsed="false">
      <c r="A367" s="6" t="s">
        <v>69</v>
      </c>
      <c r="B367" s="6" t="s">
        <v>70</v>
      </c>
      <c r="C367" s="6" t="s">
        <v>18</v>
      </c>
      <c r="D367" s="6" t="s">
        <v>71</v>
      </c>
      <c r="E367" s="6" t="s">
        <v>56</v>
      </c>
      <c r="F367" s="6" t="s">
        <v>21</v>
      </c>
      <c r="G367" s="6" t="s">
        <v>22</v>
      </c>
      <c r="H367" s="6" t="s">
        <v>23</v>
      </c>
      <c r="I367" s="7" t="n">
        <v>8.99</v>
      </c>
      <c r="J367" s="7" t="n">
        <v>22</v>
      </c>
      <c r="K367" s="6" t="s">
        <v>29</v>
      </c>
      <c r="L367" s="6" t="n">
        <v>230</v>
      </c>
      <c r="M367" s="7" t="n">
        <f aca="false">L367*J367</f>
        <v>5060</v>
      </c>
      <c r="N367" s="7" t="n">
        <f aca="false">L367*I367</f>
        <v>2067.7</v>
      </c>
      <c r="O367" s="7" t="n">
        <f aca="false">M367-N367</f>
        <v>2992.3</v>
      </c>
      <c r="P367" s="8" t="n">
        <f aca="false">IFERROR(O367/M367,0)</f>
        <v>0.591363636363636</v>
      </c>
    </row>
    <row r="368" customFormat="false" ht="15" hidden="false" customHeight="true" outlineLevel="0" collapsed="false">
      <c r="A368" s="3" t="s">
        <v>69</v>
      </c>
      <c r="B368" s="3" t="s">
        <v>70</v>
      </c>
      <c r="C368" s="3" t="s">
        <v>18</v>
      </c>
      <c r="D368" s="3" t="s">
        <v>71</v>
      </c>
      <c r="E368" s="3" t="s">
        <v>56</v>
      </c>
      <c r="F368" s="3" t="s">
        <v>30</v>
      </c>
      <c r="G368" s="3" t="s">
        <v>31</v>
      </c>
      <c r="H368" s="3" t="s">
        <v>23</v>
      </c>
      <c r="I368" s="4" t="n">
        <v>8.5</v>
      </c>
      <c r="J368" s="4" t="n">
        <v>21</v>
      </c>
      <c r="K368" s="3" t="s">
        <v>24</v>
      </c>
      <c r="L368" s="3" t="n">
        <v>307</v>
      </c>
      <c r="M368" s="4" t="n">
        <f aca="false">L368*J368</f>
        <v>6447</v>
      </c>
      <c r="N368" s="4" t="n">
        <f aca="false">L368*I368</f>
        <v>2609.5</v>
      </c>
      <c r="O368" s="4" t="n">
        <f aca="false">M368-N368</f>
        <v>3837.5</v>
      </c>
      <c r="P368" s="5" t="n">
        <f aca="false">IFERROR(O368/M368,0)</f>
        <v>0.595238095238095</v>
      </c>
    </row>
    <row r="369" customFormat="false" ht="15" hidden="false" customHeight="true" outlineLevel="0" collapsed="false">
      <c r="A369" s="6" t="s">
        <v>69</v>
      </c>
      <c r="B369" s="6" t="s">
        <v>70</v>
      </c>
      <c r="C369" s="6" t="s">
        <v>18</v>
      </c>
      <c r="D369" s="6" t="s">
        <v>71</v>
      </c>
      <c r="E369" s="6" t="s">
        <v>56</v>
      </c>
      <c r="F369" s="6" t="s">
        <v>30</v>
      </c>
      <c r="G369" s="6" t="s">
        <v>31</v>
      </c>
      <c r="H369" s="6" t="s">
        <v>23</v>
      </c>
      <c r="I369" s="7" t="n">
        <v>8.5</v>
      </c>
      <c r="J369" s="7" t="n">
        <v>21</v>
      </c>
      <c r="K369" s="6" t="s">
        <v>25</v>
      </c>
      <c r="L369" s="6" t="n">
        <v>158</v>
      </c>
      <c r="M369" s="7" t="n">
        <f aca="false">L369*J369</f>
        <v>3318</v>
      </c>
      <c r="N369" s="7" t="n">
        <f aca="false">L369*I369</f>
        <v>1343</v>
      </c>
      <c r="O369" s="7" t="n">
        <f aca="false">M369-N369</f>
        <v>1975</v>
      </c>
      <c r="P369" s="8" t="n">
        <f aca="false">IFERROR(O369/M369,0)</f>
        <v>0.595238095238095</v>
      </c>
    </row>
    <row r="370" customFormat="false" ht="15" hidden="false" customHeight="true" outlineLevel="0" collapsed="false">
      <c r="A370" s="3" t="s">
        <v>69</v>
      </c>
      <c r="B370" s="3" t="s">
        <v>70</v>
      </c>
      <c r="C370" s="3" t="s">
        <v>18</v>
      </c>
      <c r="D370" s="3" t="s">
        <v>71</v>
      </c>
      <c r="E370" s="3" t="s">
        <v>56</v>
      </c>
      <c r="F370" s="3" t="s">
        <v>30</v>
      </c>
      <c r="G370" s="3" t="s">
        <v>31</v>
      </c>
      <c r="H370" s="3" t="s">
        <v>23</v>
      </c>
      <c r="I370" s="4" t="n">
        <v>8.5</v>
      </c>
      <c r="J370" s="4" t="n">
        <v>21</v>
      </c>
      <c r="K370" s="3" t="s">
        <v>26</v>
      </c>
      <c r="L370" s="3" t="n">
        <v>140</v>
      </c>
      <c r="M370" s="4" t="n">
        <f aca="false">L370*J370</f>
        <v>2940</v>
      </c>
      <c r="N370" s="4" t="n">
        <f aca="false">L370*I370</f>
        <v>1190</v>
      </c>
      <c r="O370" s="4" t="n">
        <f aca="false">M370-N370</f>
        <v>1750</v>
      </c>
      <c r="P370" s="5" t="n">
        <f aca="false">IFERROR(O370/M370,0)</f>
        <v>0.595238095238095</v>
      </c>
    </row>
    <row r="371" customFormat="false" ht="15" hidden="false" customHeight="true" outlineLevel="0" collapsed="false">
      <c r="A371" s="6" t="s">
        <v>69</v>
      </c>
      <c r="B371" s="6" t="s">
        <v>70</v>
      </c>
      <c r="C371" s="6" t="s">
        <v>18</v>
      </c>
      <c r="D371" s="6" t="s">
        <v>71</v>
      </c>
      <c r="E371" s="6" t="s">
        <v>56</v>
      </c>
      <c r="F371" s="6" t="s">
        <v>30</v>
      </c>
      <c r="G371" s="6" t="s">
        <v>31</v>
      </c>
      <c r="H371" s="6" t="s">
        <v>23</v>
      </c>
      <c r="I371" s="7" t="n">
        <v>8.5</v>
      </c>
      <c r="J371" s="7" t="n">
        <v>21</v>
      </c>
      <c r="K371" s="6" t="s">
        <v>27</v>
      </c>
      <c r="L371" s="6" t="n">
        <v>154</v>
      </c>
      <c r="M371" s="7" t="n">
        <f aca="false">L371*J371</f>
        <v>3234</v>
      </c>
      <c r="N371" s="7" t="n">
        <f aca="false">L371*I371</f>
        <v>1309</v>
      </c>
      <c r="O371" s="7" t="n">
        <f aca="false">M371-N371</f>
        <v>1925</v>
      </c>
      <c r="P371" s="8" t="n">
        <f aca="false">IFERROR(O371/M371,0)</f>
        <v>0.595238095238095</v>
      </c>
    </row>
    <row r="372" customFormat="false" ht="15" hidden="false" customHeight="true" outlineLevel="0" collapsed="false">
      <c r="A372" s="3" t="s">
        <v>69</v>
      </c>
      <c r="B372" s="3" t="s">
        <v>70</v>
      </c>
      <c r="C372" s="3" t="s">
        <v>18</v>
      </c>
      <c r="D372" s="3" t="s">
        <v>71</v>
      </c>
      <c r="E372" s="3" t="s">
        <v>56</v>
      </c>
      <c r="F372" s="3" t="s">
        <v>30</v>
      </c>
      <c r="G372" s="3" t="s">
        <v>31</v>
      </c>
      <c r="H372" s="3" t="s">
        <v>23</v>
      </c>
      <c r="I372" s="4" t="n">
        <v>8.5</v>
      </c>
      <c r="J372" s="4" t="n">
        <v>21</v>
      </c>
      <c r="K372" s="3" t="s">
        <v>28</v>
      </c>
      <c r="L372" s="3" t="n">
        <v>144</v>
      </c>
      <c r="M372" s="4" t="n">
        <f aca="false">L372*J372</f>
        <v>3024</v>
      </c>
      <c r="N372" s="4" t="n">
        <f aca="false">L372*I372</f>
        <v>1224</v>
      </c>
      <c r="O372" s="4" t="n">
        <f aca="false">M372-N372</f>
        <v>1800</v>
      </c>
      <c r="P372" s="5" t="n">
        <f aca="false">IFERROR(O372/M372,0)</f>
        <v>0.595238095238095</v>
      </c>
    </row>
    <row r="373" customFormat="false" ht="15" hidden="false" customHeight="true" outlineLevel="0" collapsed="false">
      <c r="A373" s="6" t="s">
        <v>69</v>
      </c>
      <c r="B373" s="6" t="s">
        <v>70</v>
      </c>
      <c r="C373" s="6" t="s">
        <v>18</v>
      </c>
      <c r="D373" s="6" t="s">
        <v>71</v>
      </c>
      <c r="E373" s="6" t="s">
        <v>56</v>
      </c>
      <c r="F373" s="6" t="s">
        <v>30</v>
      </c>
      <c r="G373" s="6" t="s">
        <v>31</v>
      </c>
      <c r="H373" s="6" t="s">
        <v>23</v>
      </c>
      <c r="I373" s="7" t="n">
        <v>8.5</v>
      </c>
      <c r="J373" s="7" t="n">
        <v>21</v>
      </c>
      <c r="K373" s="6" t="s">
        <v>29</v>
      </c>
      <c r="L373" s="6" t="n">
        <v>55</v>
      </c>
      <c r="M373" s="7" t="n">
        <f aca="false">L373*J373</f>
        <v>1155</v>
      </c>
      <c r="N373" s="7" t="n">
        <f aca="false">L373*I373</f>
        <v>467.5</v>
      </c>
      <c r="O373" s="7" t="n">
        <f aca="false">M373-N373</f>
        <v>687.5</v>
      </c>
      <c r="P373" s="8" t="n">
        <f aca="false">IFERROR(O373/M373,0)</f>
        <v>0.595238095238095</v>
      </c>
    </row>
    <row r="374" customFormat="false" ht="15" hidden="false" customHeight="true" outlineLevel="0" collapsed="false">
      <c r="A374" s="3" t="s">
        <v>69</v>
      </c>
      <c r="B374" s="3" t="s">
        <v>70</v>
      </c>
      <c r="C374" s="3" t="s">
        <v>18</v>
      </c>
      <c r="D374" s="3" t="s">
        <v>71</v>
      </c>
      <c r="E374" s="3" t="s">
        <v>56</v>
      </c>
      <c r="F374" s="3" t="s">
        <v>32</v>
      </c>
      <c r="G374" s="3" t="s">
        <v>33</v>
      </c>
      <c r="H374" s="3" t="s">
        <v>23</v>
      </c>
      <c r="I374" s="4" t="n">
        <v>2.5</v>
      </c>
      <c r="J374" s="4" t="n">
        <v>4.5</v>
      </c>
      <c r="K374" s="3" t="s">
        <v>24</v>
      </c>
      <c r="L374" s="3" t="n">
        <v>92</v>
      </c>
      <c r="M374" s="4" t="n">
        <f aca="false">L374*J374</f>
        <v>414</v>
      </c>
      <c r="N374" s="4" t="n">
        <f aca="false">L374*I374</f>
        <v>230</v>
      </c>
      <c r="O374" s="4" t="n">
        <f aca="false">M374-N374</f>
        <v>184</v>
      </c>
      <c r="P374" s="5" t="n">
        <f aca="false">IFERROR(O374/M374,0)</f>
        <v>0.444444444444444</v>
      </c>
    </row>
    <row r="375" customFormat="false" ht="15" hidden="false" customHeight="true" outlineLevel="0" collapsed="false">
      <c r="A375" s="6" t="s">
        <v>69</v>
      </c>
      <c r="B375" s="6" t="s">
        <v>70</v>
      </c>
      <c r="C375" s="6" t="s">
        <v>18</v>
      </c>
      <c r="D375" s="6" t="s">
        <v>71</v>
      </c>
      <c r="E375" s="6" t="s">
        <v>56</v>
      </c>
      <c r="F375" s="6" t="s">
        <v>32</v>
      </c>
      <c r="G375" s="6" t="s">
        <v>33</v>
      </c>
      <c r="H375" s="6" t="s">
        <v>23</v>
      </c>
      <c r="I375" s="7" t="n">
        <v>2.5</v>
      </c>
      <c r="J375" s="7" t="n">
        <v>4.5</v>
      </c>
      <c r="K375" s="6" t="s">
        <v>25</v>
      </c>
      <c r="L375" s="6" t="n">
        <v>41</v>
      </c>
      <c r="M375" s="7" t="n">
        <f aca="false">L375*J375</f>
        <v>184.5</v>
      </c>
      <c r="N375" s="7" t="n">
        <f aca="false">L375*I375</f>
        <v>102.5</v>
      </c>
      <c r="O375" s="7" t="n">
        <f aca="false">M375-N375</f>
        <v>82</v>
      </c>
      <c r="P375" s="8" t="n">
        <f aca="false">IFERROR(O375/M375,0)</f>
        <v>0.444444444444444</v>
      </c>
    </row>
    <row r="376" customFormat="false" ht="15" hidden="false" customHeight="true" outlineLevel="0" collapsed="false">
      <c r="A376" s="3" t="s">
        <v>69</v>
      </c>
      <c r="B376" s="3" t="s">
        <v>70</v>
      </c>
      <c r="C376" s="3" t="s">
        <v>18</v>
      </c>
      <c r="D376" s="3" t="s">
        <v>71</v>
      </c>
      <c r="E376" s="3" t="s">
        <v>56</v>
      </c>
      <c r="F376" s="3" t="s">
        <v>32</v>
      </c>
      <c r="G376" s="3" t="s">
        <v>33</v>
      </c>
      <c r="H376" s="3" t="s">
        <v>23</v>
      </c>
      <c r="I376" s="4" t="n">
        <v>2.5</v>
      </c>
      <c r="J376" s="4" t="n">
        <v>4.5</v>
      </c>
      <c r="K376" s="3" t="s">
        <v>26</v>
      </c>
      <c r="L376" s="3" t="n">
        <v>190</v>
      </c>
      <c r="M376" s="4" t="n">
        <f aca="false">L376*J376</f>
        <v>855</v>
      </c>
      <c r="N376" s="4" t="n">
        <f aca="false">L376*I376</f>
        <v>475</v>
      </c>
      <c r="O376" s="4" t="n">
        <f aca="false">M376-N376</f>
        <v>380</v>
      </c>
      <c r="P376" s="5" t="n">
        <f aca="false">IFERROR(O376/M376,0)</f>
        <v>0.444444444444444</v>
      </c>
    </row>
    <row r="377" customFormat="false" ht="15" hidden="false" customHeight="true" outlineLevel="0" collapsed="false">
      <c r="A377" s="6" t="s">
        <v>69</v>
      </c>
      <c r="B377" s="6" t="s">
        <v>70</v>
      </c>
      <c r="C377" s="6" t="s">
        <v>18</v>
      </c>
      <c r="D377" s="6" t="s">
        <v>71</v>
      </c>
      <c r="E377" s="6" t="s">
        <v>56</v>
      </c>
      <c r="F377" s="6" t="s">
        <v>32</v>
      </c>
      <c r="G377" s="6" t="s">
        <v>33</v>
      </c>
      <c r="H377" s="6" t="s">
        <v>23</v>
      </c>
      <c r="I377" s="7" t="n">
        <v>2.5</v>
      </c>
      <c r="J377" s="7" t="n">
        <v>4.5</v>
      </c>
      <c r="K377" s="6" t="s">
        <v>27</v>
      </c>
      <c r="L377" s="6" t="n">
        <v>288</v>
      </c>
      <c r="M377" s="7" t="n">
        <f aca="false">L377*J377</f>
        <v>1296</v>
      </c>
      <c r="N377" s="7" t="n">
        <f aca="false">L377*I377</f>
        <v>720</v>
      </c>
      <c r="O377" s="7" t="n">
        <f aca="false">M377-N377</f>
        <v>576</v>
      </c>
      <c r="P377" s="8" t="n">
        <f aca="false">IFERROR(O377/M377,0)</f>
        <v>0.444444444444444</v>
      </c>
    </row>
    <row r="378" customFormat="false" ht="15" hidden="false" customHeight="true" outlineLevel="0" collapsed="false">
      <c r="A378" s="3" t="s">
        <v>69</v>
      </c>
      <c r="B378" s="3" t="s">
        <v>70</v>
      </c>
      <c r="C378" s="3" t="s">
        <v>18</v>
      </c>
      <c r="D378" s="3" t="s">
        <v>71</v>
      </c>
      <c r="E378" s="3" t="s">
        <v>56</v>
      </c>
      <c r="F378" s="3" t="s">
        <v>32</v>
      </c>
      <c r="G378" s="3" t="s">
        <v>33</v>
      </c>
      <c r="H378" s="3" t="s">
        <v>23</v>
      </c>
      <c r="I378" s="4" t="n">
        <v>2.5</v>
      </c>
      <c r="J378" s="4" t="n">
        <v>4.5</v>
      </c>
      <c r="K378" s="3" t="s">
        <v>28</v>
      </c>
      <c r="L378" s="3" t="n">
        <v>51</v>
      </c>
      <c r="M378" s="4" t="n">
        <f aca="false">L378*J378</f>
        <v>229.5</v>
      </c>
      <c r="N378" s="4" t="n">
        <f aca="false">L378*I378</f>
        <v>127.5</v>
      </c>
      <c r="O378" s="4" t="n">
        <f aca="false">M378-N378</f>
        <v>102</v>
      </c>
      <c r="P378" s="5" t="n">
        <f aca="false">IFERROR(O378/M378,0)</f>
        <v>0.444444444444444</v>
      </c>
    </row>
    <row r="379" customFormat="false" ht="15" hidden="false" customHeight="true" outlineLevel="0" collapsed="false">
      <c r="A379" s="6" t="s">
        <v>69</v>
      </c>
      <c r="B379" s="6" t="s">
        <v>70</v>
      </c>
      <c r="C379" s="6" t="s">
        <v>18</v>
      </c>
      <c r="D379" s="6" t="s">
        <v>71</v>
      </c>
      <c r="E379" s="6" t="s">
        <v>56</v>
      </c>
      <c r="F379" s="6" t="s">
        <v>32</v>
      </c>
      <c r="G379" s="6" t="s">
        <v>33</v>
      </c>
      <c r="H379" s="6" t="s">
        <v>23</v>
      </c>
      <c r="I379" s="7" t="n">
        <v>2.5</v>
      </c>
      <c r="J379" s="7" t="n">
        <v>4.5</v>
      </c>
      <c r="K379" s="6" t="s">
        <v>29</v>
      </c>
      <c r="L379" s="6" t="n">
        <v>232</v>
      </c>
      <c r="M379" s="7" t="n">
        <f aca="false">L379*J379</f>
        <v>1044</v>
      </c>
      <c r="N379" s="7" t="n">
        <f aca="false">L379*I379</f>
        <v>580</v>
      </c>
      <c r="O379" s="7" t="n">
        <f aca="false">M379-N379</f>
        <v>464</v>
      </c>
      <c r="P379" s="8" t="n">
        <f aca="false">IFERROR(O379/M379,0)</f>
        <v>0.444444444444444</v>
      </c>
    </row>
    <row r="380" customFormat="false" ht="15" hidden="false" customHeight="true" outlineLevel="0" collapsed="false">
      <c r="A380" s="3" t="s">
        <v>69</v>
      </c>
      <c r="B380" s="3" t="s">
        <v>70</v>
      </c>
      <c r="C380" s="3" t="s">
        <v>18</v>
      </c>
      <c r="D380" s="3" t="s">
        <v>71</v>
      </c>
      <c r="E380" s="3" t="s">
        <v>56</v>
      </c>
      <c r="F380" s="3" t="s">
        <v>34</v>
      </c>
      <c r="G380" s="3" t="s">
        <v>35</v>
      </c>
      <c r="H380" s="3" t="s">
        <v>23</v>
      </c>
      <c r="I380" s="4" t="n">
        <v>6</v>
      </c>
      <c r="J380" s="4" t="n">
        <v>12.5</v>
      </c>
      <c r="K380" s="3" t="s">
        <v>24</v>
      </c>
      <c r="L380" s="3" t="n">
        <v>279</v>
      </c>
      <c r="M380" s="4" t="n">
        <f aca="false">L380*J380</f>
        <v>3487.5</v>
      </c>
      <c r="N380" s="4" t="n">
        <f aca="false">L380*I380</f>
        <v>1674</v>
      </c>
      <c r="O380" s="4" t="n">
        <f aca="false">M380-N380</f>
        <v>1813.5</v>
      </c>
      <c r="P380" s="5" t="n">
        <f aca="false">IFERROR(O380/M380,0)</f>
        <v>0.52</v>
      </c>
    </row>
    <row r="381" customFormat="false" ht="15" hidden="false" customHeight="true" outlineLevel="0" collapsed="false">
      <c r="A381" s="6" t="s">
        <v>69</v>
      </c>
      <c r="B381" s="6" t="s">
        <v>70</v>
      </c>
      <c r="C381" s="6" t="s">
        <v>18</v>
      </c>
      <c r="D381" s="6" t="s">
        <v>71</v>
      </c>
      <c r="E381" s="6" t="s">
        <v>56</v>
      </c>
      <c r="F381" s="6" t="s">
        <v>34</v>
      </c>
      <c r="G381" s="6" t="s">
        <v>35</v>
      </c>
      <c r="H381" s="6" t="s">
        <v>23</v>
      </c>
      <c r="I381" s="7" t="n">
        <v>6</v>
      </c>
      <c r="J381" s="7" t="n">
        <v>12.5</v>
      </c>
      <c r="K381" s="6" t="s">
        <v>25</v>
      </c>
      <c r="L381" s="6" t="n">
        <v>188</v>
      </c>
      <c r="M381" s="7" t="n">
        <f aca="false">L381*J381</f>
        <v>2350</v>
      </c>
      <c r="N381" s="7" t="n">
        <f aca="false">L381*I381</f>
        <v>1128</v>
      </c>
      <c r="O381" s="7" t="n">
        <f aca="false">M381-N381</f>
        <v>1222</v>
      </c>
      <c r="P381" s="8" t="n">
        <f aca="false">IFERROR(O381/M381,0)</f>
        <v>0.52</v>
      </c>
    </row>
    <row r="382" customFormat="false" ht="15" hidden="false" customHeight="true" outlineLevel="0" collapsed="false">
      <c r="A382" s="3" t="s">
        <v>69</v>
      </c>
      <c r="B382" s="3" t="s">
        <v>70</v>
      </c>
      <c r="C382" s="3" t="s">
        <v>18</v>
      </c>
      <c r="D382" s="3" t="s">
        <v>71</v>
      </c>
      <c r="E382" s="3" t="s">
        <v>56</v>
      </c>
      <c r="F382" s="3" t="s">
        <v>34</v>
      </c>
      <c r="G382" s="3" t="s">
        <v>35</v>
      </c>
      <c r="H382" s="3" t="s">
        <v>23</v>
      </c>
      <c r="I382" s="4" t="n">
        <v>6</v>
      </c>
      <c r="J382" s="4" t="n">
        <v>12.5</v>
      </c>
      <c r="K382" s="3" t="s">
        <v>26</v>
      </c>
      <c r="L382" s="3" t="n">
        <v>59</v>
      </c>
      <c r="M382" s="4" t="n">
        <f aca="false">L382*J382</f>
        <v>737.5</v>
      </c>
      <c r="N382" s="4" t="n">
        <f aca="false">L382*I382</f>
        <v>354</v>
      </c>
      <c r="O382" s="4" t="n">
        <f aca="false">M382-N382</f>
        <v>383.5</v>
      </c>
      <c r="P382" s="5" t="n">
        <f aca="false">IFERROR(O382/M382,0)</f>
        <v>0.52</v>
      </c>
    </row>
    <row r="383" customFormat="false" ht="15" hidden="false" customHeight="true" outlineLevel="0" collapsed="false">
      <c r="A383" s="6" t="s">
        <v>69</v>
      </c>
      <c r="B383" s="6" t="s">
        <v>70</v>
      </c>
      <c r="C383" s="6" t="s">
        <v>18</v>
      </c>
      <c r="D383" s="6" t="s">
        <v>71</v>
      </c>
      <c r="E383" s="6" t="s">
        <v>56</v>
      </c>
      <c r="F383" s="6" t="s">
        <v>34</v>
      </c>
      <c r="G383" s="6" t="s">
        <v>35</v>
      </c>
      <c r="H383" s="6" t="s">
        <v>23</v>
      </c>
      <c r="I383" s="7" t="n">
        <v>6</v>
      </c>
      <c r="J383" s="7" t="n">
        <v>12.5</v>
      </c>
      <c r="K383" s="6" t="s">
        <v>27</v>
      </c>
      <c r="L383" s="6" t="n">
        <v>280</v>
      </c>
      <c r="M383" s="7" t="n">
        <f aca="false">L383*J383</f>
        <v>3500</v>
      </c>
      <c r="N383" s="7" t="n">
        <f aca="false">L383*I383</f>
        <v>1680</v>
      </c>
      <c r="O383" s="7" t="n">
        <f aca="false">M383-N383</f>
        <v>1820</v>
      </c>
      <c r="P383" s="8" t="n">
        <f aca="false">IFERROR(O383/M383,0)</f>
        <v>0.52</v>
      </c>
    </row>
    <row r="384" customFormat="false" ht="15" hidden="false" customHeight="true" outlineLevel="0" collapsed="false">
      <c r="A384" s="3" t="s">
        <v>69</v>
      </c>
      <c r="B384" s="3" t="s">
        <v>70</v>
      </c>
      <c r="C384" s="3" t="s">
        <v>18</v>
      </c>
      <c r="D384" s="3" t="s">
        <v>71</v>
      </c>
      <c r="E384" s="3" t="s">
        <v>56</v>
      </c>
      <c r="F384" s="3" t="s">
        <v>34</v>
      </c>
      <c r="G384" s="3" t="s">
        <v>35</v>
      </c>
      <c r="H384" s="3" t="s">
        <v>23</v>
      </c>
      <c r="I384" s="4" t="n">
        <v>6</v>
      </c>
      <c r="J384" s="4" t="n">
        <v>12.5</v>
      </c>
      <c r="K384" s="3" t="s">
        <v>28</v>
      </c>
      <c r="L384" s="3" t="n">
        <v>77</v>
      </c>
      <c r="M384" s="4" t="n">
        <f aca="false">L384*J384</f>
        <v>962.5</v>
      </c>
      <c r="N384" s="4" t="n">
        <f aca="false">L384*I384</f>
        <v>462</v>
      </c>
      <c r="O384" s="4" t="n">
        <f aca="false">M384-N384</f>
        <v>500.5</v>
      </c>
      <c r="P384" s="5" t="n">
        <f aca="false">IFERROR(O384/M384,0)</f>
        <v>0.52</v>
      </c>
    </row>
    <row r="385" customFormat="false" ht="15" hidden="false" customHeight="true" outlineLevel="0" collapsed="false">
      <c r="A385" s="6" t="s">
        <v>69</v>
      </c>
      <c r="B385" s="6" t="s">
        <v>70</v>
      </c>
      <c r="C385" s="6" t="s">
        <v>18</v>
      </c>
      <c r="D385" s="6" t="s">
        <v>71</v>
      </c>
      <c r="E385" s="6" t="s">
        <v>56</v>
      </c>
      <c r="F385" s="6" t="s">
        <v>34</v>
      </c>
      <c r="G385" s="6" t="s">
        <v>35</v>
      </c>
      <c r="H385" s="6" t="s">
        <v>23</v>
      </c>
      <c r="I385" s="7" t="n">
        <v>6</v>
      </c>
      <c r="J385" s="7" t="n">
        <v>12.5</v>
      </c>
      <c r="K385" s="6" t="s">
        <v>29</v>
      </c>
      <c r="L385" s="6" t="n">
        <v>357</v>
      </c>
      <c r="M385" s="7" t="n">
        <f aca="false">L385*J385</f>
        <v>4462.5</v>
      </c>
      <c r="N385" s="7" t="n">
        <f aca="false">L385*I385</f>
        <v>2142</v>
      </c>
      <c r="O385" s="7" t="n">
        <f aca="false">M385-N385</f>
        <v>2320.5</v>
      </c>
      <c r="P385" s="8" t="n">
        <f aca="false">IFERROR(O385/M385,0)</f>
        <v>0.52</v>
      </c>
    </row>
    <row r="386" customFormat="false" ht="15" hidden="false" customHeight="true" outlineLevel="0" collapsed="false">
      <c r="A386" s="3" t="s">
        <v>69</v>
      </c>
      <c r="B386" s="3" t="s">
        <v>70</v>
      </c>
      <c r="C386" s="3" t="s">
        <v>18</v>
      </c>
      <c r="D386" s="3" t="s">
        <v>71</v>
      </c>
      <c r="E386" s="3" t="s">
        <v>56</v>
      </c>
      <c r="F386" s="3" t="s">
        <v>36</v>
      </c>
      <c r="G386" s="3" t="s">
        <v>37</v>
      </c>
      <c r="H386" s="3" t="s">
        <v>23</v>
      </c>
      <c r="I386" s="4" t="n">
        <v>4.5</v>
      </c>
      <c r="J386" s="4" t="n">
        <v>7</v>
      </c>
      <c r="K386" s="3" t="s">
        <v>24</v>
      </c>
      <c r="L386" s="3" t="n">
        <v>51</v>
      </c>
      <c r="M386" s="4" t="n">
        <f aca="false">L386*J386</f>
        <v>357</v>
      </c>
      <c r="N386" s="4" t="n">
        <f aca="false">L386*I386</f>
        <v>229.5</v>
      </c>
      <c r="O386" s="4" t="n">
        <f aca="false">M386-N386</f>
        <v>127.5</v>
      </c>
      <c r="P386" s="5" t="n">
        <f aca="false">IFERROR(O386/M386,0)</f>
        <v>0.357142857142857</v>
      </c>
    </row>
    <row r="387" customFormat="false" ht="15" hidden="false" customHeight="true" outlineLevel="0" collapsed="false">
      <c r="A387" s="6" t="s">
        <v>69</v>
      </c>
      <c r="B387" s="6" t="s">
        <v>70</v>
      </c>
      <c r="C387" s="6" t="s">
        <v>18</v>
      </c>
      <c r="D387" s="6" t="s">
        <v>71</v>
      </c>
      <c r="E387" s="6" t="s">
        <v>56</v>
      </c>
      <c r="F387" s="6" t="s">
        <v>36</v>
      </c>
      <c r="G387" s="6" t="s">
        <v>37</v>
      </c>
      <c r="H387" s="6" t="s">
        <v>23</v>
      </c>
      <c r="I387" s="7" t="n">
        <v>4.5</v>
      </c>
      <c r="J387" s="7" t="n">
        <v>7</v>
      </c>
      <c r="K387" s="6" t="s">
        <v>25</v>
      </c>
      <c r="L387" s="6" t="n">
        <v>108</v>
      </c>
      <c r="M387" s="7" t="n">
        <f aca="false">L387*J387</f>
        <v>756</v>
      </c>
      <c r="N387" s="7" t="n">
        <f aca="false">L387*I387</f>
        <v>486</v>
      </c>
      <c r="O387" s="7" t="n">
        <f aca="false">M387-N387</f>
        <v>270</v>
      </c>
      <c r="P387" s="8" t="n">
        <f aca="false">IFERROR(O387/M387,0)</f>
        <v>0.357142857142857</v>
      </c>
    </row>
    <row r="388" customFormat="false" ht="15" hidden="false" customHeight="true" outlineLevel="0" collapsed="false">
      <c r="A388" s="3" t="s">
        <v>69</v>
      </c>
      <c r="B388" s="3" t="s">
        <v>70</v>
      </c>
      <c r="C388" s="3" t="s">
        <v>18</v>
      </c>
      <c r="D388" s="3" t="s">
        <v>71</v>
      </c>
      <c r="E388" s="3" t="s">
        <v>56</v>
      </c>
      <c r="F388" s="3" t="s">
        <v>36</v>
      </c>
      <c r="G388" s="3" t="s">
        <v>37</v>
      </c>
      <c r="H388" s="3" t="s">
        <v>23</v>
      </c>
      <c r="I388" s="4" t="n">
        <v>4.5</v>
      </c>
      <c r="J388" s="4" t="n">
        <v>7</v>
      </c>
      <c r="K388" s="3" t="s">
        <v>26</v>
      </c>
      <c r="L388" s="3" t="n">
        <v>195</v>
      </c>
      <c r="M388" s="4" t="n">
        <f aca="false">L388*J388</f>
        <v>1365</v>
      </c>
      <c r="N388" s="4" t="n">
        <f aca="false">L388*I388</f>
        <v>877.5</v>
      </c>
      <c r="O388" s="4" t="n">
        <f aca="false">M388-N388</f>
        <v>487.5</v>
      </c>
      <c r="P388" s="5" t="n">
        <f aca="false">IFERROR(O388/M388,0)</f>
        <v>0.357142857142857</v>
      </c>
    </row>
    <row r="389" customFormat="false" ht="15" hidden="false" customHeight="true" outlineLevel="0" collapsed="false">
      <c r="A389" s="6" t="s">
        <v>69</v>
      </c>
      <c r="B389" s="6" t="s">
        <v>70</v>
      </c>
      <c r="C389" s="6" t="s">
        <v>18</v>
      </c>
      <c r="D389" s="6" t="s">
        <v>71</v>
      </c>
      <c r="E389" s="6" t="s">
        <v>56</v>
      </c>
      <c r="F389" s="6" t="s">
        <v>36</v>
      </c>
      <c r="G389" s="6" t="s">
        <v>37</v>
      </c>
      <c r="H389" s="6" t="s">
        <v>23</v>
      </c>
      <c r="I389" s="7" t="n">
        <v>4.5</v>
      </c>
      <c r="J389" s="7" t="n">
        <v>7</v>
      </c>
      <c r="K389" s="6" t="s">
        <v>27</v>
      </c>
      <c r="L389" s="6" t="n">
        <v>157</v>
      </c>
      <c r="M389" s="7" t="n">
        <f aca="false">L389*J389</f>
        <v>1099</v>
      </c>
      <c r="N389" s="7" t="n">
        <f aca="false">L389*I389</f>
        <v>706.5</v>
      </c>
      <c r="O389" s="7" t="n">
        <f aca="false">M389-N389</f>
        <v>392.5</v>
      </c>
      <c r="P389" s="8" t="n">
        <f aca="false">IFERROR(O389/M389,0)</f>
        <v>0.357142857142857</v>
      </c>
    </row>
    <row r="390" customFormat="false" ht="15" hidden="false" customHeight="true" outlineLevel="0" collapsed="false">
      <c r="A390" s="3" t="s">
        <v>69</v>
      </c>
      <c r="B390" s="3" t="s">
        <v>70</v>
      </c>
      <c r="C390" s="3" t="s">
        <v>18</v>
      </c>
      <c r="D390" s="3" t="s">
        <v>71</v>
      </c>
      <c r="E390" s="3" t="s">
        <v>56</v>
      </c>
      <c r="F390" s="3" t="s">
        <v>36</v>
      </c>
      <c r="G390" s="3" t="s">
        <v>37</v>
      </c>
      <c r="H390" s="3" t="s">
        <v>23</v>
      </c>
      <c r="I390" s="4" t="n">
        <v>4.5</v>
      </c>
      <c r="J390" s="4" t="n">
        <v>7</v>
      </c>
      <c r="K390" s="3" t="s">
        <v>28</v>
      </c>
      <c r="L390" s="3" t="n">
        <v>300</v>
      </c>
      <c r="M390" s="4" t="n">
        <f aca="false">L390*J390</f>
        <v>2100</v>
      </c>
      <c r="N390" s="4" t="n">
        <f aca="false">L390*I390</f>
        <v>1350</v>
      </c>
      <c r="O390" s="4" t="n">
        <f aca="false">M390-N390</f>
        <v>750</v>
      </c>
      <c r="P390" s="5" t="n">
        <f aca="false">IFERROR(O390/M390,0)</f>
        <v>0.357142857142857</v>
      </c>
    </row>
    <row r="391" customFormat="false" ht="15" hidden="false" customHeight="true" outlineLevel="0" collapsed="false">
      <c r="A391" s="6" t="s">
        <v>69</v>
      </c>
      <c r="B391" s="6" t="s">
        <v>70</v>
      </c>
      <c r="C391" s="6" t="s">
        <v>18</v>
      </c>
      <c r="D391" s="6" t="s">
        <v>71</v>
      </c>
      <c r="E391" s="6" t="s">
        <v>56</v>
      </c>
      <c r="F391" s="6" t="s">
        <v>36</v>
      </c>
      <c r="G391" s="6" t="s">
        <v>37</v>
      </c>
      <c r="H391" s="6" t="s">
        <v>23</v>
      </c>
      <c r="I391" s="7" t="n">
        <v>4.5</v>
      </c>
      <c r="J391" s="7" t="n">
        <v>7</v>
      </c>
      <c r="K391" s="6" t="s">
        <v>29</v>
      </c>
      <c r="L391" s="6" t="n">
        <v>194</v>
      </c>
      <c r="M391" s="7" t="n">
        <f aca="false">L391*J391</f>
        <v>1358</v>
      </c>
      <c r="N391" s="7" t="n">
        <f aca="false">L391*I391</f>
        <v>873</v>
      </c>
      <c r="O391" s="7" t="n">
        <f aca="false">M391-N391</f>
        <v>485</v>
      </c>
      <c r="P391" s="8" t="n">
        <f aca="false">IFERROR(O391/M391,0)</f>
        <v>0.357142857142857</v>
      </c>
    </row>
    <row r="392" customFormat="false" ht="15" hidden="false" customHeight="true" outlineLevel="0" collapsed="false">
      <c r="A392" s="3" t="s">
        <v>69</v>
      </c>
      <c r="B392" s="3" t="s">
        <v>70</v>
      </c>
      <c r="C392" s="3" t="s">
        <v>18</v>
      </c>
      <c r="D392" s="3" t="s">
        <v>71</v>
      </c>
      <c r="E392" s="3" t="s">
        <v>56</v>
      </c>
      <c r="F392" s="3" t="s">
        <v>38</v>
      </c>
      <c r="G392" s="3" t="s">
        <v>39</v>
      </c>
      <c r="H392" s="3" t="s">
        <v>23</v>
      </c>
      <c r="I392" s="4" t="n">
        <v>9.9</v>
      </c>
      <c r="J392" s="4" t="n">
        <v>18</v>
      </c>
      <c r="K392" s="3" t="s">
        <v>24</v>
      </c>
      <c r="L392" s="3" t="n">
        <v>228</v>
      </c>
      <c r="M392" s="4" t="n">
        <f aca="false">L392*J392</f>
        <v>4104</v>
      </c>
      <c r="N392" s="4" t="n">
        <f aca="false">L392*I392</f>
        <v>2257.2</v>
      </c>
      <c r="O392" s="4" t="n">
        <f aca="false">M392-N392</f>
        <v>1846.8</v>
      </c>
      <c r="P392" s="5" t="n">
        <f aca="false">IFERROR(O392/M392,0)</f>
        <v>0.45</v>
      </c>
    </row>
    <row r="393" customFormat="false" ht="15" hidden="false" customHeight="true" outlineLevel="0" collapsed="false">
      <c r="A393" s="6" t="s">
        <v>69</v>
      </c>
      <c r="B393" s="6" t="s">
        <v>70</v>
      </c>
      <c r="C393" s="6" t="s">
        <v>18</v>
      </c>
      <c r="D393" s="6" t="s">
        <v>71</v>
      </c>
      <c r="E393" s="6" t="s">
        <v>56</v>
      </c>
      <c r="F393" s="6" t="s">
        <v>38</v>
      </c>
      <c r="G393" s="6" t="s">
        <v>39</v>
      </c>
      <c r="H393" s="6" t="s">
        <v>23</v>
      </c>
      <c r="I393" s="7" t="n">
        <v>9.9</v>
      </c>
      <c r="J393" s="7" t="n">
        <v>18</v>
      </c>
      <c r="K393" s="6" t="s">
        <v>25</v>
      </c>
      <c r="L393" s="6" t="n">
        <v>242</v>
      </c>
      <c r="M393" s="7" t="n">
        <f aca="false">L393*J393</f>
        <v>4356</v>
      </c>
      <c r="N393" s="7" t="n">
        <f aca="false">L393*I393</f>
        <v>2395.8</v>
      </c>
      <c r="O393" s="7" t="n">
        <f aca="false">M393-N393</f>
        <v>1960.2</v>
      </c>
      <c r="P393" s="8" t="n">
        <f aca="false">IFERROR(O393/M393,0)</f>
        <v>0.45</v>
      </c>
    </row>
    <row r="394" customFormat="false" ht="15" hidden="false" customHeight="true" outlineLevel="0" collapsed="false">
      <c r="A394" s="3" t="s">
        <v>69</v>
      </c>
      <c r="B394" s="3" t="s">
        <v>70</v>
      </c>
      <c r="C394" s="3" t="s">
        <v>18</v>
      </c>
      <c r="D394" s="3" t="s">
        <v>71</v>
      </c>
      <c r="E394" s="3" t="s">
        <v>56</v>
      </c>
      <c r="F394" s="3" t="s">
        <v>38</v>
      </c>
      <c r="G394" s="3" t="s">
        <v>39</v>
      </c>
      <c r="H394" s="3" t="s">
        <v>23</v>
      </c>
      <c r="I394" s="4" t="n">
        <v>9.9</v>
      </c>
      <c r="J394" s="4" t="n">
        <v>18</v>
      </c>
      <c r="K394" s="3" t="s">
        <v>26</v>
      </c>
      <c r="L394" s="3" t="n">
        <v>272</v>
      </c>
      <c r="M394" s="4" t="n">
        <f aca="false">L394*J394</f>
        <v>4896</v>
      </c>
      <c r="N394" s="4" t="n">
        <f aca="false">L394*I394</f>
        <v>2692.8</v>
      </c>
      <c r="O394" s="4" t="n">
        <f aca="false">M394-N394</f>
        <v>2203.2</v>
      </c>
      <c r="P394" s="5" t="n">
        <f aca="false">IFERROR(O394/M394,0)</f>
        <v>0.45</v>
      </c>
    </row>
    <row r="395" customFormat="false" ht="15" hidden="false" customHeight="true" outlineLevel="0" collapsed="false">
      <c r="A395" s="6" t="s">
        <v>69</v>
      </c>
      <c r="B395" s="6" t="s">
        <v>70</v>
      </c>
      <c r="C395" s="6" t="s">
        <v>18</v>
      </c>
      <c r="D395" s="6" t="s">
        <v>71</v>
      </c>
      <c r="E395" s="6" t="s">
        <v>56</v>
      </c>
      <c r="F395" s="6" t="s">
        <v>38</v>
      </c>
      <c r="G395" s="6" t="s">
        <v>39</v>
      </c>
      <c r="H395" s="6" t="s">
        <v>23</v>
      </c>
      <c r="I395" s="7" t="n">
        <v>9.9</v>
      </c>
      <c r="J395" s="7" t="n">
        <v>18</v>
      </c>
      <c r="K395" s="6" t="s">
        <v>27</v>
      </c>
      <c r="L395" s="6" t="n">
        <v>72</v>
      </c>
      <c r="M395" s="7" t="n">
        <f aca="false">L395*J395</f>
        <v>1296</v>
      </c>
      <c r="N395" s="7" t="n">
        <f aca="false">L395*I395</f>
        <v>712.8</v>
      </c>
      <c r="O395" s="7" t="n">
        <f aca="false">M395-N395</f>
        <v>583.2</v>
      </c>
      <c r="P395" s="8" t="n">
        <f aca="false">IFERROR(O395/M395,0)</f>
        <v>0.45</v>
      </c>
    </row>
    <row r="396" customFormat="false" ht="15" hidden="false" customHeight="true" outlineLevel="0" collapsed="false">
      <c r="A396" s="3" t="s">
        <v>69</v>
      </c>
      <c r="B396" s="3" t="s">
        <v>70</v>
      </c>
      <c r="C396" s="3" t="s">
        <v>18</v>
      </c>
      <c r="D396" s="3" t="s">
        <v>71</v>
      </c>
      <c r="E396" s="3" t="s">
        <v>56</v>
      </c>
      <c r="F396" s="3" t="s">
        <v>38</v>
      </c>
      <c r="G396" s="3" t="s">
        <v>39</v>
      </c>
      <c r="H396" s="3" t="s">
        <v>23</v>
      </c>
      <c r="I396" s="4" t="n">
        <v>9.9</v>
      </c>
      <c r="J396" s="4" t="n">
        <v>18</v>
      </c>
      <c r="K396" s="3" t="s">
        <v>28</v>
      </c>
      <c r="L396" s="3" t="n">
        <v>92</v>
      </c>
      <c r="M396" s="4" t="n">
        <f aca="false">L396*J396</f>
        <v>1656</v>
      </c>
      <c r="N396" s="4" t="n">
        <f aca="false">L396*I396</f>
        <v>910.8</v>
      </c>
      <c r="O396" s="4" t="n">
        <f aca="false">M396-N396</f>
        <v>745.2</v>
      </c>
      <c r="P396" s="5" t="n">
        <f aca="false">IFERROR(O396/M396,0)</f>
        <v>0.45</v>
      </c>
    </row>
    <row r="397" customFormat="false" ht="15" hidden="false" customHeight="true" outlineLevel="0" collapsed="false">
      <c r="A397" s="6" t="s">
        <v>69</v>
      </c>
      <c r="B397" s="6" t="s">
        <v>70</v>
      </c>
      <c r="C397" s="6" t="s">
        <v>18</v>
      </c>
      <c r="D397" s="6" t="s">
        <v>71</v>
      </c>
      <c r="E397" s="6" t="s">
        <v>56</v>
      </c>
      <c r="F397" s="6" t="s">
        <v>38</v>
      </c>
      <c r="G397" s="6" t="s">
        <v>39</v>
      </c>
      <c r="H397" s="6" t="s">
        <v>23</v>
      </c>
      <c r="I397" s="7" t="n">
        <v>9.9</v>
      </c>
      <c r="J397" s="7" t="n">
        <v>18</v>
      </c>
      <c r="K397" s="6" t="s">
        <v>29</v>
      </c>
      <c r="L397" s="6" t="n">
        <v>177</v>
      </c>
      <c r="M397" s="7" t="n">
        <f aca="false">L397*J397</f>
        <v>3186</v>
      </c>
      <c r="N397" s="7" t="n">
        <f aca="false">L397*I397</f>
        <v>1752.3</v>
      </c>
      <c r="O397" s="7" t="n">
        <f aca="false">M397-N397</f>
        <v>1433.7</v>
      </c>
      <c r="P397" s="8" t="n">
        <f aca="false">IFERROR(O397/M397,0)</f>
        <v>0.45</v>
      </c>
    </row>
    <row r="398" customFormat="false" ht="15" hidden="false" customHeight="true" outlineLevel="0" collapsed="false">
      <c r="A398" s="3" t="s">
        <v>69</v>
      </c>
      <c r="B398" s="3" t="s">
        <v>70</v>
      </c>
      <c r="C398" s="3" t="s">
        <v>18</v>
      </c>
      <c r="D398" s="3" t="s">
        <v>71</v>
      </c>
      <c r="E398" s="3" t="s">
        <v>56</v>
      </c>
      <c r="F398" s="3" t="s">
        <v>40</v>
      </c>
      <c r="G398" s="3" t="s">
        <v>41</v>
      </c>
      <c r="H398" s="3" t="s">
        <v>42</v>
      </c>
      <c r="I398" s="4" t="n">
        <v>3.5</v>
      </c>
      <c r="J398" s="4" t="n">
        <v>6.5</v>
      </c>
      <c r="K398" s="3" t="s">
        <v>24</v>
      </c>
      <c r="L398" s="3" t="n">
        <v>66</v>
      </c>
      <c r="M398" s="4" t="n">
        <f aca="false">L398*J398</f>
        <v>429</v>
      </c>
      <c r="N398" s="4" t="n">
        <f aca="false">L398*I398</f>
        <v>231</v>
      </c>
      <c r="O398" s="4" t="n">
        <f aca="false">M398-N398</f>
        <v>198</v>
      </c>
      <c r="P398" s="5" t="n">
        <f aca="false">IFERROR(O398/M398,0)</f>
        <v>0.461538461538462</v>
      </c>
    </row>
    <row r="399" customFormat="false" ht="15" hidden="false" customHeight="true" outlineLevel="0" collapsed="false">
      <c r="A399" s="6" t="s">
        <v>69</v>
      </c>
      <c r="B399" s="6" t="s">
        <v>70</v>
      </c>
      <c r="C399" s="6" t="s">
        <v>18</v>
      </c>
      <c r="D399" s="6" t="s">
        <v>71</v>
      </c>
      <c r="E399" s="6" t="s">
        <v>56</v>
      </c>
      <c r="F399" s="6" t="s">
        <v>40</v>
      </c>
      <c r="G399" s="6" t="s">
        <v>41</v>
      </c>
      <c r="H399" s="6" t="s">
        <v>42</v>
      </c>
      <c r="I399" s="7" t="n">
        <v>3.5</v>
      </c>
      <c r="J399" s="7" t="n">
        <v>6.5</v>
      </c>
      <c r="K399" s="6" t="s">
        <v>25</v>
      </c>
      <c r="L399" s="6" t="n">
        <v>139</v>
      </c>
      <c r="M399" s="7" t="n">
        <f aca="false">L399*J399</f>
        <v>903.5</v>
      </c>
      <c r="N399" s="7" t="n">
        <f aca="false">L399*I399</f>
        <v>486.5</v>
      </c>
      <c r="O399" s="7" t="n">
        <f aca="false">M399-N399</f>
        <v>417</v>
      </c>
      <c r="P399" s="8" t="n">
        <f aca="false">IFERROR(O399/M399,0)</f>
        <v>0.461538461538462</v>
      </c>
    </row>
    <row r="400" customFormat="false" ht="15" hidden="false" customHeight="true" outlineLevel="0" collapsed="false">
      <c r="A400" s="3" t="s">
        <v>69</v>
      </c>
      <c r="B400" s="3" t="s">
        <v>70</v>
      </c>
      <c r="C400" s="3" t="s">
        <v>18</v>
      </c>
      <c r="D400" s="3" t="s">
        <v>71</v>
      </c>
      <c r="E400" s="3" t="s">
        <v>56</v>
      </c>
      <c r="F400" s="3" t="s">
        <v>40</v>
      </c>
      <c r="G400" s="3" t="s">
        <v>41</v>
      </c>
      <c r="H400" s="3" t="s">
        <v>42</v>
      </c>
      <c r="I400" s="4" t="n">
        <v>3.5</v>
      </c>
      <c r="J400" s="4" t="n">
        <v>6.5</v>
      </c>
      <c r="K400" s="3" t="s">
        <v>26</v>
      </c>
      <c r="L400" s="3" t="n">
        <v>69</v>
      </c>
      <c r="M400" s="4" t="n">
        <f aca="false">L400*J400</f>
        <v>448.5</v>
      </c>
      <c r="N400" s="4" t="n">
        <f aca="false">L400*I400</f>
        <v>241.5</v>
      </c>
      <c r="O400" s="4" t="n">
        <f aca="false">M400-N400</f>
        <v>207</v>
      </c>
      <c r="P400" s="5" t="n">
        <f aca="false">IFERROR(O400/M400,0)</f>
        <v>0.461538461538462</v>
      </c>
    </row>
    <row r="401" customFormat="false" ht="15" hidden="false" customHeight="true" outlineLevel="0" collapsed="false">
      <c r="A401" s="6" t="s">
        <v>69</v>
      </c>
      <c r="B401" s="6" t="s">
        <v>70</v>
      </c>
      <c r="C401" s="6" t="s">
        <v>18</v>
      </c>
      <c r="D401" s="6" t="s">
        <v>71</v>
      </c>
      <c r="E401" s="6" t="s">
        <v>56</v>
      </c>
      <c r="F401" s="6" t="s">
        <v>40</v>
      </c>
      <c r="G401" s="6" t="s">
        <v>41</v>
      </c>
      <c r="H401" s="6" t="s">
        <v>42</v>
      </c>
      <c r="I401" s="7" t="n">
        <v>3.5</v>
      </c>
      <c r="J401" s="7" t="n">
        <v>6.5</v>
      </c>
      <c r="K401" s="6" t="s">
        <v>27</v>
      </c>
      <c r="L401" s="6" t="n">
        <v>35</v>
      </c>
      <c r="M401" s="7" t="n">
        <f aca="false">L401*J401</f>
        <v>227.5</v>
      </c>
      <c r="N401" s="7" t="n">
        <f aca="false">L401*I401</f>
        <v>122.5</v>
      </c>
      <c r="O401" s="7" t="n">
        <f aca="false">M401-N401</f>
        <v>105</v>
      </c>
      <c r="P401" s="8" t="n">
        <f aca="false">IFERROR(O401/M401,0)</f>
        <v>0.461538461538462</v>
      </c>
    </row>
    <row r="402" customFormat="false" ht="15" hidden="false" customHeight="true" outlineLevel="0" collapsed="false">
      <c r="A402" s="3" t="s">
        <v>69</v>
      </c>
      <c r="B402" s="3" t="s">
        <v>70</v>
      </c>
      <c r="C402" s="3" t="s">
        <v>18</v>
      </c>
      <c r="D402" s="3" t="s">
        <v>71</v>
      </c>
      <c r="E402" s="3" t="s">
        <v>56</v>
      </c>
      <c r="F402" s="3" t="s">
        <v>40</v>
      </c>
      <c r="G402" s="3" t="s">
        <v>41</v>
      </c>
      <c r="H402" s="3" t="s">
        <v>42</v>
      </c>
      <c r="I402" s="4" t="n">
        <v>3.5</v>
      </c>
      <c r="J402" s="4" t="n">
        <v>6.5</v>
      </c>
      <c r="K402" s="3" t="s">
        <v>28</v>
      </c>
      <c r="L402" s="3" t="n">
        <v>321</v>
      </c>
      <c r="M402" s="4" t="n">
        <f aca="false">L402*J402</f>
        <v>2086.5</v>
      </c>
      <c r="N402" s="4" t="n">
        <f aca="false">L402*I402</f>
        <v>1123.5</v>
      </c>
      <c r="O402" s="4" t="n">
        <f aca="false">M402-N402</f>
        <v>963</v>
      </c>
      <c r="P402" s="5" t="n">
        <f aca="false">IFERROR(O402/M402,0)</f>
        <v>0.461538461538462</v>
      </c>
    </row>
    <row r="403" customFormat="false" ht="15" hidden="false" customHeight="true" outlineLevel="0" collapsed="false">
      <c r="A403" s="6" t="s">
        <v>69</v>
      </c>
      <c r="B403" s="6" t="s">
        <v>70</v>
      </c>
      <c r="C403" s="6" t="s">
        <v>18</v>
      </c>
      <c r="D403" s="6" t="s">
        <v>71</v>
      </c>
      <c r="E403" s="6" t="s">
        <v>56</v>
      </c>
      <c r="F403" s="6" t="s">
        <v>40</v>
      </c>
      <c r="G403" s="6" t="s">
        <v>41</v>
      </c>
      <c r="H403" s="6" t="s">
        <v>42</v>
      </c>
      <c r="I403" s="7" t="n">
        <v>3.5</v>
      </c>
      <c r="J403" s="7" t="n">
        <v>6.5</v>
      </c>
      <c r="K403" s="6" t="s">
        <v>29</v>
      </c>
      <c r="L403" s="6" t="n">
        <v>350</v>
      </c>
      <c r="M403" s="7" t="n">
        <f aca="false">L403*J403</f>
        <v>2275</v>
      </c>
      <c r="N403" s="7" t="n">
        <f aca="false">L403*I403</f>
        <v>1225</v>
      </c>
      <c r="O403" s="7" t="n">
        <f aca="false">M403-N403</f>
        <v>1050</v>
      </c>
      <c r="P403" s="8" t="n">
        <f aca="false">IFERROR(O403/M403,0)</f>
        <v>0.461538461538462</v>
      </c>
    </row>
    <row r="404" customFormat="false" ht="15" hidden="false" customHeight="true" outlineLevel="0" collapsed="false">
      <c r="A404" s="3" t="s">
        <v>69</v>
      </c>
      <c r="B404" s="3" t="s">
        <v>70</v>
      </c>
      <c r="C404" s="3" t="s">
        <v>18</v>
      </c>
      <c r="D404" s="3" t="s">
        <v>71</v>
      </c>
      <c r="E404" s="3" t="s">
        <v>56</v>
      </c>
      <c r="F404" s="3" t="s">
        <v>43</v>
      </c>
      <c r="G404" s="3" t="s">
        <v>44</v>
      </c>
      <c r="H404" s="3" t="s">
        <v>42</v>
      </c>
      <c r="I404" s="4" t="n">
        <v>2</v>
      </c>
      <c r="J404" s="4" t="n">
        <v>3.8</v>
      </c>
      <c r="K404" s="3" t="s">
        <v>24</v>
      </c>
      <c r="L404" s="3" t="n">
        <v>43</v>
      </c>
      <c r="M404" s="4" t="n">
        <f aca="false">L404*J404</f>
        <v>163.4</v>
      </c>
      <c r="N404" s="4" t="n">
        <f aca="false">L404*I404</f>
        <v>86</v>
      </c>
      <c r="O404" s="4" t="n">
        <f aca="false">M404-N404</f>
        <v>77.4</v>
      </c>
      <c r="P404" s="5" t="n">
        <f aca="false">IFERROR(O404/M404,0)</f>
        <v>0.473684210526316</v>
      </c>
    </row>
    <row r="405" customFormat="false" ht="15" hidden="false" customHeight="true" outlineLevel="0" collapsed="false">
      <c r="A405" s="6" t="s">
        <v>69</v>
      </c>
      <c r="B405" s="6" t="s">
        <v>70</v>
      </c>
      <c r="C405" s="6" t="s">
        <v>18</v>
      </c>
      <c r="D405" s="6" t="s">
        <v>71</v>
      </c>
      <c r="E405" s="6" t="s">
        <v>56</v>
      </c>
      <c r="F405" s="6" t="s">
        <v>43</v>
      </c>
      <c r="G405" s="6" t="s">
        <v>44</v>
      </c>
      <c r="H405" s="6" t="s">
        <v>42</v>
      </c>
      <c r="I405" s="7" t="n">
        <v>2</v>
      </c>
      <c r="J405" s="7" t="n">
        <v>3.8</v>
      </c>
      <c r="K405" s="6" t="s">
        <v>25</v>
      </c>
      <c r="L405" s="6" t="n">
        <v>167</v>
      </c>
      <c r="M405" s="7" t="n">
        <f aca="false">L405*J405</f>
        <v>634.6</v>
      </c>
      <c r="N405" s="7" t="n">
        <f aca="false">L405*I405</f>
        <v>334</v>
      </c>
      <c r="O405" s="7" t="n">
        <f aca="false">M405-N405</f>
        <v>300.6</v>
      </c>
      <c r="P405" s="8" t="n">
        <f aca="false">IFERROR(O405/M405,0)</f>
        <v>0.473684210526316</v>
      </c>
    </row>
    <row r="406" customFormat="false" ht="15" hidden="false" customHeight="true" outlineLevel="0" collapsed="false">
      <c r="A406" s="3" t="s">
        <v>69</v>
      </c>
      <c r="B406" s="3" t="s">
        <v>70</v>
      </c>
      <c r="C406" s="3" t="s">
        <v>18</v>
      </c>
      <c r="D406" s="3" t="s">
        <v>71</v>
      </c>
      <c r="E406" s="3" t="s">
        <v>56</v>
      </c>
      <c r="F406" s="3" t="s">
        <v>43</v>
      </c>
      <c r="G406" s="3" t="s">
        <v>44</v>
      </c>
      <c r="H406" s="3" t="s">
        <v>42</v>
      </c>
      <c r="I406" s="4" t="n">
        <v>2</v>
      </c>
      <c r="J406" s="4" t="n">
        <v>3.8</v>
      </c>
      <c r="K406" s="3" t="s">
        <v>26</v>
      </c>
      <c r="L406" s="3" t="n">
        <v>280</v>
      </c>
      <c r="M406" s="4" t="n">
        <f aca="false">L406*J406</f>
        <v>1064</v>
      </c>
      <c r="N406" s="4" t="n">
        <f aca="false">L406*I406</f>
        <v>560</v>
      </c>
      <c r="O406" s="4" t="n">
        <f aca="false">M406-N406</f>
        <v>504</v>
      </c>
      <c r="P406" s="5" t="n">
        <f aca="false">IFERROR(O406/M406,0)</f>
        <v>0.473684210526316</v>
      </c>
    </row>
    <row r="407" customFormat="false" ht="15" hidden="false" customHeight="true" outlineLevel="0" collapsed="false">
      <c r="A407" s="6" t="s">
        <v>69</v>
      </c>
      <c r="B407" s="6" t="s">
        <v>70</v>
      </c>
      <c r="C407" s="6" t="s">
        <v>18</v>
      </c>
      <c r="D407" s="6" t="s">
        <v>71</v>
      </c>
      <c r="E407" s="6" t="s">
        <v>56</v>
      </c>
      <c r="F407" s="6" t="s">
        <v>43</v>
      </c>
      <c r="G407" s="6" t="s">
        <v>44</v>
      </c>
      <c r="H407" s="6" t="s">
        <v>42</v>
      </c>
      <c r="I407" s="7" t="n">
        <v>2</v>
      </c>
      <c r="J407" s="7" t="n">
        <v>3.8</v>
      </c>
      <c r="K407" s="6" t="s">
        <v>27</v>
      </c>
      <c r="L407" s="6" t="n">
        <v>154</v>
      </c>
      <c r="M407" s="7" t="n">
        <f aca="false">L407*J407</f>
        <v>585.2</v>
      </c>
      <c r="N407" s="7" t="n">
        <f aca="false">L407*I407</f>
        <v>308</v>
      </c>
      <c r="O407" s="7" t="n">
        <f aca="false">M407-N407</f>
        <v>277.2</v>
      </c>
      <c r="P407" s="8" t="n">
        <f aca="false">IFERROR(O407/M407,0)</f>
        <v>0.473684210526316</v>
      </c>
    </row>
    <row r="408" customFormat="false" ht="15" hidden="false" customHeight="true" outlineLevel="0" collapsed="false">
      <c r="A408" s="3" t="s">
        <v>69</v>
      </c>
      <c r="B408" s="3" t="s">
        <v>70</v>
      </c>
      <c r="C408" s="3" t="s">
        <v>18</v>
      </c>
      <c r="D408" s="3" t="s">
        <v>71</v>
      </c>
      <c r="E408" s="3" t="s">
        <v>56</v>
      </c>
      <c r="F408" s="3" t="s">
        <v>43</v>
      </c>
      <c r="G408" s="3" t="s">
        <v>44</v>
      </c>
      <c r="H408" s="3" t="s">
        <v>42</v>
      </c>
      <c r="I408" s="4" t="n">
        <v>2</v>
      </c>
      <c r="J408" s="4" t="n">
        <v>3.8</v>
      </c>
      <c r="K408" s="3" t="s">
        <v>28</v>
      </c>
      <c r="L408" s="3" t="n">
        <v>160</v>
      </c>
      <c r="M408" s="4" t="n">
        <f aca="false">L408*J408</f>
        <v>608</v>
      </c>
      <c r="N408" s="4" t="n">
        <f aca="false">L408*I408</f>
        <v>320</v>
      </c>
      <c r="O408" s="4" t="n">
        <f aca="false">M408-N408</f>
        <v>288</v>
      </c>
      <c r="P408" s="5" t="n">
        <f aca="false">IFERROR(O408/M408,0)</f>
        <v>0.473684210526316</v>
      </c>
    </row>
    <row r="409" customFormat="false" ht="15" hidden="false" customHeight="true" outlineLevel="0" collapsed="false">
      <c r="A409" s="6" t="s">
        <v>69</v>
      </c>
      <c r="B409" s="6" t="s">
        <v>70</v>
      </c>
      <c r="C409" s="6" t="s">
        <v>18</v>
      </c>
      <c r="D409" s="6" t="s">
        <v>71</v>
      </c>
      <c r="E409" s="6" t="s">
        <v>56</v>
      </c>
      <c r="F409" s="6" t="s">
        <v>43</v>
      </c>
      <c r="G409" s="6" t="s">
        <v>44</v>
      </c>
      <c r="H409" s="6" t="s">
        <v>42</v>
      </c>
      <c r="I409" s="7" t="n">
        <v>2</v>
      </c>
      <c r="J409" s="7" t="n">
        <v>3.8</v>
      </c>
      <c r="K409" s="6" t="s">
        <v>29</v>
      </c>
      <c r="L409" s="6" t="n">
        <v>121</v>
      </c>
      <c r="M409" s="7" t="n">
        <f aca="false">L409*J409</f>
        <v>459.8</v>
      </c>
      <c r="N409" s="7" t="n">
        <f aca="false">L409*I409</f>
        <v>242</v>
      </c>
      <c r="O409" s="7" t="n">
        <f aca="false">M409-N409</f>
        <v>217.8</v>
      </c>
      <c r="P409" s="8" t="n">
        <f aca="false">IFERROR(O409/M409,0)</f>
        <v>0.473684210526316</v>
      </c>
    </row>
    <row r="410" customFormat="false" ht="15" hidden="false" customHeight="true" outlineLevel="0" collapsed="false">
      <c r="A410" s="3" t="s">
        <v>69</v>
      </c>
      <c r="B410" s="3" t="s">
        <v>70</v>
      </c>
      <c r="C410" s="3" t="s">
        <v>18</v>
      </c>
      <c r="D410" s="3" t="s">
        <v>71</v>
      </c>
      <c r="E410" s="3" t="s">
        <v>56</v>
      </c>
      <c r="F410" s="3" t="s">
        <v>45</v>
      </c>
      <c r="G410" s="3" t="s">
        <v>46</v>
      </c>
      <c r="H410" s="3" t="s">
        <v>42</v>
      </c>
      <c r="I410" s="4" t="n">
        <v>5</v>
      </c>
      <c r="J410" s="4" t="n">
        <v>10</v>
      </c>
      <c r="K410" s="3" t="s">
        <v>24</v>
      </c>
      <c r="L410" s="3" t="n">
        <v>155</v>
      </c>
      <c r="M410" s="4" t="n">
        <f aca="false">L410*J410</f>
        <v>1550</v>
      </c>
      <c r="N410" s="4" t="n">
        <f aca="false">L410*I410</f>
        <v>775</v>
      </c>
      <c r="O410" s="4" t="n">
        <f aca="false">M410-N410</f>
        <v>775</v>
      </c>
      <c r="P410" s="5" t="n">
        <f aca="false">IFERROR(O410/M410,0)</f>
        <v>0.5</v>
      </c>
    </row>
    <row r="411" customFormat="false" ht="15" hidden="false" customHeight="true" outlineLevel="0" collapsed="false">
      <c r="A411" s="6" t="s">
        <v>69</v>
      </c>
      <c r="B411" s="6" t="s">
        <v>70</v>
      </c>
      <c r="C411" s="6" t="s">
        <v>18</v>
      </c>
      <c r="D411" s="6" t="s">
        <v>71</v>
      </c>
      <c r="E411" s="6" t="s">
        <v>56</v>
      </c>
      <c r="F411" s="6" t="s">
        <v>45</v>
      </c>
      <c r="G411" s="6" t="s">
        <v>46</v>
      </c>
      <c r="H411" s="6" t="s">
        <v>42</v>
      </c>
      <c r="I411" s="7" t="n">
        <v>5</v>
      </c>
      <c r="J411" s="7" t="n">
        <v>10</v>
      </c>
      <c r="K411" s="6" t="s">
        <v>25</v>
      </c>
      <c r="L411" s="6" t="n">
        <v>98</v>
      </c>
      <c r="M411" s="7" t="n">
        <f aca="false">L411*J411</f>
        <v>980</v>
      </c>
      <c r="N411" s="7" t="n">
        <f aca="false">L411*I411</f>
        <v>490</v>
      </c>
      <c r="O411" s="7" t="n">
        <f aca="false">M411-N411</f>
        <v>490</v>
      </c>
      <c r="P411" s="8" t="n">
        <f aca="false">IFERROR(O411/M411,0)</f>
        <v>0.5</v>
      </c>
    </row>
    <row r="412" customFormat="false" ht="15" hidden="false" customHeight="true" outlineLevel="0" collapsed="false">
      <c r="A412" s="3" t="s">
        <v>69</v>
      </c>
      <c r="B412" s="3" t="s">
        <v>70</v>
      </c>
      <c r="C412" s="3" t="s">
        <v>18</v>
      </c>
      <c r="D412" s="3" t="s">
        <v>71</v>
      </c>
      <c r="E412" s="3" t="s">
        <v>56</v>
      </c>
      <c r="F412" s="3" t="s">
        <v>45</v>
      </c>
      <c r="G412" s="3" t="s">
        <v>46</v>
      </c>
      <c r="H412" s="3" t="s">
        <v>42</v>
      </c>
      <c r="I412" s="4" t="n">
        <v>5</v>
      </c>
      <c r="J412" s="4" t="n">
        <v>10</v>
      </c>
      <c r="K412" s="3" t="s">
        <v>26</v>
      </c>
      <c r="L412" s="3" t="n">
        <v>104</v>
      </c>
      <c r="M412" s="4" t="n">
        <f aca="false">L412*J412</f>
        <v>1040</v>
      </c>
      <c r="N412" s="4" t="n">
        <f aca="false">L412*I412</f>
        <v>520</v>
      </c>
      <c r="O412" s="4" t="n">
        <f aca="false">M412-N412</f>
        <v>520</v>
      </c>
      <c r="P412" s="5" t="n">
        <f aca="false">IFERROR(O412/M412,0)</f>
        <v>0.5</v>
      </c>
    </row>
    <row r="413" customFormat="false" ht="15" hidden="false" customHeight="true" outlineLevel="0" collapsed="false">
      <c r="A413" s="6" t="s">
        <v>69</v>
      </c>
      <c r="B413" s="6" t="s">
        <v>70</v>
      </c>
      <c r="C413" s="6" t="s">
        <v>18</v>
      </c>
      <c r="D413" s="6" t="s">
        <v>71</v>
      </c>
      <c r="E413" s="6" t="s">
        <v>56</v>
      </c>
      <c r="F413" s="6" t="s">
        <v>45</v>
      </c>
      <c r="G413" s="6" t="s">
        <v>46</v>
      </c>
      <c r="H413" s="6" t="s">
        <v>42</v>
      </c>
      <c r="I413" s="7" t="n">
        <v>5</v>
      </c>
      <c r="J413" s="7" t="n">
        <v>10</v>
      </c>
      <c r="K413" s="6" t="s">
        <v>27</v>
      </c>
      <c r="L413" s="6" t="n">
        <v>58</v>
      </c>
      <c r="M413" s="7" t="n">
        <f aca="false">L413*J413</f>
        <v>580</v>
      </c>
      <c r="N413" s="7" t="n">
        <f aca="false">L413*I413</f>
        <v>290</v>
      </c>
      <c r="O413" s="7" t="n">
        <f aca="false">M413-N413</f>
        <v>290</v>
      </c>
      <c r="P413" s="8" t="n">
        <f aca="false">IFERROR(O413/M413,0)</f>
        <v>0.5</v>
      </c>
    </row>
    <row r="414" customFormat="false" ht="15" hidden="false" customHeight="true" outlineLevel="0" collapsed="false">
      <c r="A414" s="3" t="s">
        <v>69</v>
      </c>
      <c r="B414" s="3" t="s">
        <v>70</v>
      </c>
      <c r="C414" s="3" t="s">
        <v>18</v>
      </c>
      <c r="D414" s="3" t="s">
        <v>71</v>
      </c>
      <c r="E414" s="3" t="s">
        <v>56</v>
      </c>
      <c r="F414" s="3" t="s">
        <v>45</v>
      </c>
      <c r="G414" s="3" t="s">
        <v>46</v>
      </c>
      <c r="H414" s="3" t="s">
        <v>42</v>
      </c>
      <c r="I414" s="4" t="n">
        <v>5</v>
      </c>
      <c r="J414" s="4" t="n">
        <v>10</v>
      </c>
      <c r="K414" s="3" t="s">
        <v>28</v>
      </c>
      <c r="L414" s="3" t="n">
        <v>233</v>
      </c>
      <c r="M414" s="4" t="n">
        <f aca="false">L414*J414</f>
        <v>2330</v>
      </c>
      <c r="N414" s="4" t="n">
        <f aca="false">L414*I414</f>
        <v>1165</v>
      </c>
      <c r="O414" s="4" t="n">
        <f aca="false">M414-N414</f>
        <v>1165</v>
      </c>
      <c r="P414" s="5" t="n">
        <f aca="false">IFERROR(O414/M414,0)</f>
        <v>0.5</v>
      </c>
    </row>
    <row r="415" customFormat="false" ht="15" hidden="false" customHeight="true" outlineLevel="0" collapsed="false">
      <c r="A415" s="6" t="s">
        <v>69</v>
      </c>
      <c r="B415" s="6" t="s">
        <v>70</v>
      </c>
      <c r="C415" s="6" t="s">
        <v>18</v>
      </c>
      <c r="D415" s="6" t="s">
        <v>71</v>
      </c>
      <c r="E415" s="6" t="s">
        <v>56</v>
      </c>
      <c r="F415" s="6" t="s">
        <v>45</v>
      </c>
      <c r="G415" s="6" t="s">
        <v>46</v>
      </c>
      <c r="H415" s="6" t="s">
        <v>42</v>
      </c>
      <c r="I415" s="7" t="n">
        <v>5</v>
      </c>
      <c r="J415" s="7" t="n">
        <v>10</v>
      </c>
      <c r="K415" s="6" t="s">
        <v>29</v>
      </c>
      <c r="L415" s="6" t="n">
        <v>234</v>
      </c>
      <c r="M415" s="7" t="n">
        <f aca="false">L415*J415</f>
        <v>2340</v>
      </c>
      <c r="N415" s="7" t="n">
        <f aca="false">L415*I415</f>
        <v>1170</v>
      </c>
      <c r="O415" s="7" t="n">
        <f aca="false">M415-N415</f>
        <v>1170</v>
      </c>
      <c r="P415" s="8" t="n">
        <f aca="false">IFERROR(O415/M415,0)</f>
        <v>0.5</v>
      </c>
    </row>
    <row r="416" customFormat="false" ht="15" hidden="false" customHeight="true" outlineLevel="0" collapsed="false">
      <c r="A416" s="3" t="s">
        <v>69</v>
      </c>
      <c r="B416" s="3" t="s">
        <v>70</v>
      </c>
      <c r="C416" s="3" t="s">
        <v>18</v>
      </c>
      <c r="D416" s="3" t="s">
        <v>71</v>
      </c>
      <c r="E416" s="3" t="s">
        <v>56</v>
      </c>
      <c r="F416" s="3" t="s">
        <v>47</v>
      </c>
      <c r="G416" s="3" t="s">
        <v>48</v>
      </c>
      <c r="H416" s="3" t="s">
        <v>42</v>
      </c>
      <c r="I416" s="4" t="n">
        <v>2.8</v>
      </c>
      <c r="J416" s="4" t="n">
        <v>5.5</v>
      </c>
      <c r="K416" s="3" t="s">
        <v>24</v>
      </c>
      <c r="L416" s="3" t="n">
        <v>97</v>
      </c>
      <c r="M416" s="4" t="n">
        <f aca="false">L416*J416</f>
        <v>533.5</v>
      </c>
      <c r="N416" s="4" t="n">
        <f aca="false">L416*I416</f>
        <v>271.6</v>
      </c>
      <c r="O416" s="4" t="n">
        <f aca="false">M416-N416</f>
        <v>261.9</v>
      </c>
      <c r="P416" s="5" t="n">
        <f aca="false">IFERROR(O416/M416,0)</f>
        <v>0.490909090909091</v>
      </c>
    </row>
    <row r="417" customFormat="false" ht="15" hidden="false" customHeight="true" outlineLevel="0" collapsed="false">
      <c r="A417" s="6" t="s">
        <v>69</v>
      </c>
      <c r="B417" s="6" t="s">
        <v>70</v>
      </c>
      <c r="C417" s="6" t="s">
        <v>18</v>
      </c>
      <c r="D417" s="6" t="s">
        <v>71</v>
      </c>
      <c r="E417" s="6" t="s">
        <v>56</v>
      </c>
      <c r="F417" s="6" t="s">
        <v>47</v>
      </c>
      <c r="G417" s="6" t="s">
        <v>48</v>
      </c>
      <c r="H417" s="6" t="s">
        <v>42</v>
      </c>
      <c r="I417" s="7" t="n">
        <v>2.8</v>
      </c>
      <c r="J417" s="7" t="n">
        <v>5.5</v>
      </c>
      <c r="K417" s="6" t="s">
        <v>25</v>
      </c>
      <c r="L417" s="6" t="n">
        <v>177</v>
      </c>
      <c r="M417" s="7" t="n">
        <f aca="false">L417*J417</f>
        <v>973.5</v>
      </c>
      <c r="N417" s="7" t="n">
        <f aca="false">L417*I417</f>
        <v>495.6</v>
      </c>
      <c r="O417" s="7" t="n">
        <f aca="false">M417-N417</f>
        <v>477.9</v>
      </c>
      <c r="P417" s="8" t="n">
        <f aca="false">IFERROR(O417/M417,0)</f>
        <v>0.490909090909091</v>
      </c>
    </row>
    <row r="418" customFormat="false" ht="15" hidden="false" customHeight="true" outlineLevel="0" collapsed="false">
      <c r="A418" s="3" t="s">
        <v>69</v>
      </c>
      <c r="B418" s="3" t="s">
        <v>70</v>
      </c>
      <c r="C418" s="3" t="s">
        <v>18</v>
      </c>
      <c r="D418" s="3" t="s">
        <v>71</v>
      </c>
      <c r="E418" s="3" t="s">
        <v>56</v>
      </c>
      <c r="F418" s="3" t="s">
        <v>47</v>
      </c>
      <c r="G418" s="3" t="s">
        <v>48</v>
      </c>
      <c r="H418" s="3" t="s">
        <v>42</v>
      </c>
      <c r="I418" s="4" t="n">
        <v>2.8</v>
      </c>
      <c r="J418" s="4" t="n">
        <v>5.5</v>
      </c>
      <c r="K418" s="3" t="s">
        <v>26</v>
      </c>
      <c r="L418" s="3" t="n">
        <v>191</v>
      </c>
      <c r="M418" s="4" t="n">
        <f aca="false">L418*J418</f>
        <v>1050.5</v>
      </c>
      <c r="N418" s="4" t="n">
        <f aca="false">L418*I418</f>
        <v>534.8</v>
      </c>
      <c r="O418" s="4" t="n">
        <f aca="false">M418-N418</f>
        <v>515.7</v>
      </c>
      <c r="P418" s="5" t="n">
        <f aca="false">IFERROR(O418/M418,0)</f>
        <v>0.490909090909091</v>
      </c>
    </row>
    <row r="419" customFormat="false" ht="15" hidden="false" customHeight="true" outlineLevel="0" collapsed="false">
      <c r="A419" s="6" t="s">
        <v>69</v>
      </c>
      <c r="B419" s="6" t="s">
        <v>70</v>
      </c>
      <c r="C419" s="6" t="s">
        <v>18</v>
      </c>
      <c r="D419" s="6" t="s">
        <v>71</v>
      </c>
      <c r="E419" s="6" t="s">
        <v>56</v>
      </c>
      <c r="F419" s="6" t="s">
        <v>47</v>
      </c>
      <c r="G419" s="6" t="s">
        <v>48</v>
      </c>
      <c r="H419" s="6" t="s">
        <v>42</v>
      </c>
      <c r="I419" s="7" t="n">
        <v>2.8</v>
      </c>
      <c r="J419" s="7" t="n">
        <v>5.5</v>
      </c>
      <c r="K419" s="6" t="s">
        <v>27</v>
      </c>
      <c r="L419" s="6" t="n">
        <v>300</v>
      </c>
      <c r="M419" s="7" t="n">
        <f aca="false">L419*J419</f>
        <v>1650</v>
      </c>
      <c r="N419" s="7" t="n">
        <f aca="false">L419*I419</f>
        <v>840</v>
      </c>
      <c r="O419" s="7" t="n">
        <f aca="false">M419-N419</f>
        <v>810</v>
      </c>
      <c r="P419" s="8" t="n">
        <f aca="false">IFERROR(O419/M419,0)</f>
        <v>0.490909090909091</v>
      </c>
    </row>
    <row r="420" customFormat="false" ht="15" hidden="false" customHeight="true" outlineLevel="0" collapsed="false">
      <c r="A420" s="3" t="s">
        <v>69</v>
      </c>
      <c r="B420" s="3" t="s">
        <v>70</v>
      </c>
      <c r="C420" s="3" t="s">
        <v>18</v>
      </c>
      <c r="D420" s="3" t="s">
        <v>71</v>
      </c>
      <c r="E420" s="3" t="s">
        <v>56</v>
      </c>
      <c r="F420" s="3" t="s">
        <v>47</v>
      </c>
      <c r="G420" s="3" t="s">
        <v>48</v>
      </c>
      <c r="H420" s="3" t="s">
        <v>42</v>
      </c>
      <c r="I420" s="4" t="n">
        <v>2.8</v>
      </c>
      <c r="J420" s="4" t="n">
        <v>5.5</v>
      </c>
      <c r="K420" s="3" t="s">
        <v>28</v>
      </c>
      <c r="L420" s="3" t="n">
        <v>94</v>
      </c>
      <c r="M420" s="4" t="n">
        <f aca="false">L420*J420</f>
        <v>517</v>
      </c>
      <c r="N420" s="4" t="n">
        <f aca="false">L420*I420</f>
        <v>263.2</v>
      </c>
      <c r="O420" s="4" t="n">
        <f aca="false">M420-N420</f>
        <v>253.8</v>
      </c>
      <c r="P420" s="5" t="n">
        <f aca="false">IFERROR(O420/M420,0)</f>
        <v>0.490909090909091</v>
      </c>
    </row>
    <row r="421" customFormat="false" ht="15" hidden="false" customHeight="true" outlineLevel="0" collapsed="false">
      <c r="A421" s="6" t="s">
        <v>69</v>
      </c>
      <c r="B421" s="6" t="s">
        <v>70</v>
      </c>
      <c r="C421" s="6" t="s">
        <v>18</v>
      </c>
      <c r="D421" s="6" t="s">
        <v>71</v>
      </c>
      <c r="E421" s="6" t="s">
        <v>56</v>
      </c>
      <c r="F421" s="6" t="s">
        <v>47</v>
      </c>
      <c r="G421" s="6" t="s">
        <v>48</v>
      </c>
      <c r="H421" s="6" t="s">
        <v>42</v>
      </c>
      <c r="I421" s="7" t="n">
        <v>2.8</v>
      </c>
      <c r="J421" s="7" t="n">
        <v>5.5</v>
      </c>
      <c r="K421" s="6" t="s">
        <v>29</v>
      </c>
      <c r="L421" s="6" t="n">
        <v>68</v>
      </c>
      <c r="M421" s="7" t="n">
        <f aca="false">L421*J421</f>
        <v>374</v>
      </c>
      <c r="N421" s="7" t="n">
        <f aca="false">L421*I421</f>
        <v>190.4</v>
      </c>
      <c r="O421" s="7" t="n">
        <f aca="false">M421-N421</f>
        <v>183.6</v>
      </c>
      <c r="P421" s="8" t="n">
        <f aca="false">IFERROR(O421/M421,0)</f>
        <v>0.490909090909091</v>
      </c>
    </row>
    <row r="422" customFormat="false" ht="15" hidden="false" customHeight="true" outlineLevel="0" collapsed="false">
      <c r="A422" s="3" t="s">
        <v>72</v>
      </c>
      <c r="B422" s="3" t="s">
        <v>73</v>
      </c>
      <c r="C422" s="3" t="s">
        <v>74</v>
      </c>
      <c r="D422" s="3" t="s">
        <v>60</v>
      </c>
      <c r="E422" s="3" t="s">
        <v>52</v>
      </c>
      <c r="F422" s="3" t="s">
        <v>21</v>
      </c>
      <c r="G422" s="3" t="s">
        <v>22</v>
      </c>
      <c r="H422" s="3" t="s">
        <v>23</v>
      </c>
      <c r="I422" s="4" t="n">
        <v>8.99</v>
      </c>
      <c r="J422" s="4" t="n">
        <v>22</v>
      </c>
      <c r="K422" s="3" t="s">
        <v>24</v>
      </c>
      <c r="L422" s="3" t="n">
        <v>204</v>
      </c>
      <c r="M422" s="4" t="n">
        <f aca="false">L422*J422</f>
        <v>4488</v>
      </c>
      <c r="N422" s="4" t="n">
        <f aca="false">L422*I422</f>
        <v>1833.96</v>
      </c>
      <c r="O422" s="4" t="n">
        <f aca="false">M422-N422</f>
        <v>2654.04</v>
      </c>
      <c r="P422" s="5" t="n">
        <f aca="false">IFERROR(O422/M422,0)</f>
        <v>0.591363636363636</v>
      </c>
    </row>
    <row r="423" customFormat="false" ht="15" hidden="false" customHeight="true" outlineLevel="0" collapsed="false">
      <c r="A423" s="6" t="s">
        <v>72</v>
      </c>
      <c r="B423" s="6" t="s">
        <v>73</v>
      </c>
      <c r="C423" s="6" t="s">
        <v>74</v>
      </c>
      <c r="D423" s="6" t="s">
        <v>60</v>
      </c>
      <c r="E423" s="6" t="s">
        <v>52</v>
      </c>
      <c r="F423" s="6" t="s">
        <v>21</v>
      </c>
      <c r="G423" s="6" t="s">
        <v>22</v>
      </c>
      <c r="H423" s="6" t="s">
        <v>23</v>
      </c>
      <c r="I423" s="7" t="n">
        <v>8.99</v>
      </c>
      <c r="J423" s="7" t="n">
        <v>22</v>
      </c>
      <c r="K423" s="6" t="s">
        <v>25</v>
      </c>
      <c r="L423" s="6" t="n">
        <v>140</v>
      </c>
      <c r="M423" s="7" t="n">
        <f aca="false">L423*J423</f>
        <v>3080</v>
      </c>
      <c r="N423" s="7" t="n">
        <f aca="false">L423*I423</f>
        <v>1258.6</v>
      </c>
      <c r="O423" s="7" t="n">
        <f aca="false">M423-N423</f>
        <v>1821.4</v>
      </c>
      <c r="P423" s="8" t="n">
        <f aca="false">IFERROR(O423/M423,0)</f>
        <v>0.591363636363636</v>
      </c>
    </row>
    <row r="424" customFormat="false" ht="15" hidden="false" customHeight="true" outlineLevel="0" collapsed="false">
      <c r="A424" s="3" t="s">
        <v>72</v>
      </c>
      <c r="B424" s="3" t="s">
        <v>73</v>
      </c>
      <c r="C424" s="3" t="s">
        <v>74</v>
      </c>
      <c r="D424" s="3" t="s">
        <v>60</v>
      </c>
      <c r="E424" s="3" t="s">
        <v>52</v>
      </c>
      <c r="F424" s="3" t="s">
        <v>21</v>
      </c>
      <c r="G424" s="3" t="s">
        <v>22</v>
      </c>
      <c r="H424" s="3" t="s">
        <v>23</v>
      </c>
      <c r="I424" s="4" t="n">
        <v>8.99</v>
      </c>
      <c r="J424" s="4" t="n">
        <v>22</v>
      </c>
      <c r="K424" s="3" t="s">
        <v>26</v>
      </c>
      <c r="L424" s="3" t="n">
        <v>80</v>
      </c>
      <c r="M424" s="4" t="n">
        <f aca="false">L424*J424</f>
        <v>1760</v>
      </c>
      <c r="N424" s="4" t="n">
        <f aca="false">L424*I424</f>
        <v>719.2</v>
      </c>
      <c r="O424" s="4" t="n">
        <f aca="false">M424-N424</f>
        <v>1040.8</v>
      </c>
      <c r="P424" s="5" t="n">
        <f aca="false">IFERROR(O424/M424,0)</f>
        <v>0.591363636363636</v>
      </c>
    </row>
    <row r="425" customFormat="false" ht="15" hidden="false" customHeight="true" outlineLevel="0" collapsed="false">
      <c r="A425" s="6" t="s">
        <v>72</v>
      </c>
      <c r="B425" s="6" t="s">
        <v>73</v>
      </c>
      <c r="C425" s="6" t="s">
        <v>74</v>
      </c>
      <c r="D425" s="6" t="s">
        <v>60</v>
      </c>
      <c r="E425" s="6" t="s">
        <v>52</v>
      </c>
      <c r="F425" s="6" t="s">
        <v>21</v>
      </c>
      <c r="G425" s="6" t="s">
        <v>22</v>
      </c>
      <c r="H425" s="6" t="s">
        <v>23</v>
      </c>
      <c r="I425" s="7" t="n">
        <v>8.99</v>
      </c>
      <c r="J425" s="7" t="n">
        <v>22</v>
      </c>
      <c r="K425" s="6" t="s">
        <v>27</v>
      </c>
      <c r="L425" s="6" t="n">
        <v>40</v>
      </c>
      <c r="M425" s="7" t="n">
        <f aca="false">L425*J425</f>
        <v>880</v>
      </c>
      <c r="N425" s="7" t="n">
        <f aca="false">L425*I425</f>
        <v>359.6</v>
      </c>
      <c r="O425" s="7" t="n">
        <f aca="false">M425-N425</f>
        <v>520.4</v>
      </c>
      <c r="P425" s="8" t="n">
        <f aca="false">IFERROR(O425/M425,0)</f>
        <v>0.591363636363636</v>
      </c>
    </row>
    <row r="426" customFormat="false" ht="15" hidden="false" customHeight="true" outlineLevel="0" collapsed="false">
      <c r="A426" s="3" t="s">
        <v>72</v>
      </c>
      <c r="B426" s="3" t="s">
        <v>73</v>
      </c>
      <c r="C426" s="3" t="s">
        <v>74</v>
      </c>
      <c r="D426" s="3" t="s">
        <v>60</v>
      </c>
      <c r="E426" s="3" t="s">
        <v>52</v>
      </c>
      <c r="F426" s="3" t="s">
        <v>21</v>
      </c>
      <c r="G426" s="3" t="s">
        <v>22</v>
      </c>
      <c r="H426" s="3" t="s">
        <v>23</v>
      </c>
      <c r="I426" s="4" t="n">
        <v>8.99</v>
      </c>
      <c r="J426" s="4" t="n">
        <v>22</v>
      </c>
      <c r="K426" s="3" t="s">
        <v>28</v>
      </c>
      <c r="L426" s="3" t="n">
        <v>55</v>
      </c>
      <c r="M426" s="4" t="n">
        <f aca="false">L426*J426</f>
        <v>1210</v>
      </c>
      <c r="N426" s="4" t="n">
        <f aca="false">L426*I426</f>
        <v>494.45</v>
      </c>
      <c r="O426" s="4" t="n">
        <f aca="false">M426-N426</f>
        <v>715.55</v>
      </c>
      <c r="P426" s="5" t="n">
        <f aca="false">IFERROR(O426/M426,0)</f>
        <v>0.591363636363636</v>
      </c>
    </row>
    <row r="427" customFormat="false" ht="15" hidden="false" customHeight="true" outlineLevel="0" collapsed="false">
      <c r="A427" s="6" t="s">
        <v>72</v>
      </c>
      <c r="B427" s="6" t="s">
        <v>73</v>
      </c>
      <c r="C427" s="6" t="s">
        <v>74</v>
      </c>
      <c r="D427" s="6" t="s">
        <v>60</v>
      </c>
      <c r="E427" s="6" t="s">
        <v>52</v>
      </c>
      <c r="F427" s="6" t="s">
        <v>21</v>
      </c>
      <c r="G427" s="6" t="s">
        <v>22</v>
      </c>
      <c r="H427" s="6" t="s">
        <v>23</v>
      </c>
      <c r="I427" s="7" t="n">
        <v>8.99</v>
      </c>
      <c r="J427" s="7" t="n">
        <v>22</v>
      </c>
      <c r="K427" s="6" t="s">
        <v>29</v>
      </c>
      <c r="L427" s="6" t="n">
        <v>357</v>
      </c>
      <c r="M427" s="7" t="n">
        <f aca="false">L427*J427</f>
        <v>7854</v>
      </c>
      <c r="N427" s="7" t="n">
        <f aca="false">L427*I427</f>
        <v>3209.43</v>
      </c>
      <c r="O427" s="7" t="n">
        <f aca="false">M427-N427</f>
        <v>4644.57</v>
      </c>
      <c r="P427" s="8" t="n">
        <f aca="false">IFERROR(O427/M427,0)</f>
        <v>0.591363636363636</v>
      </c>
    </row>
    <row r="428" customFormat="false" ht="15" hidden="false" customHeight="true" outlineLevel="0" collapsed="false">
      <c r="A428" s="3" t="s">
        <v>72</v>
      </c>
      <c r="B428" s="3" t="s">
        <v>73</v>
      </c>
      <c r="C428" s="3" t="s">
        <v>74</v>
      </c>
      <c r="D428" s="3" t="s">
        <v>60</v>
      </c>
      <c r="E428" s="3" t="s">
        <v>52</v>
      </c>
      <c r="F428" s="3" t="s">
        <v>30</v>
      </c>
      <c r="G428" s="3" t="s">
        <v>31</v>
      </c>
      <c r="H428" s="3" t="s">
        <v>23</v>
      </c>
      <c r="I428" s="4" t="n">
        <v>8.5</v>
      </c>
      <c r="J428" s="4" t="n">
        <v>21</v>
      </c>
      <c r="K428" s="3" t="s">
        <v>24</v>
      </c>
      <c r="L428" s="3" t="n">
        <v>254</v>
      </c>
      <c r="M428" s="4" t="n">
        <f aca="false">L428*J428</f>
        <v>5334</v>
      </c>
      <c r="N428" s="4" t="n">
        <f aca="false">L428*I428</f>
        <v>2159</v>
      </c>
      <c r="O428" s="4" t="n">
        <f aca="false">M428-N428</f>
        <v>3175</v>
      </c>
      <c r="P428" s="5" t="n">
        <f aca="false">IFERROR(O428/M428,0)</f>
        <v>0.595238095238095</v>
      </c>
    </row>
    <row r="429" customFormat="false" ht="15" hidden="false" customHeight="true" outlineLevel="0" collapsed="false">
      <c r="A429" s="6" t="s">
        <v>72</v>
      </c>
      <c r="B429" s="6" t="s">
        <v>73</v>
      </c>
      <c r="C429" s="6" t="s">
        <v>74</v>
      </c>
      <c r="D429" s="6" t="s">
        <v>60</v>
      </c>
      <c r="E429" s="6" t="s">
        <v>52</v>
      </c>
      <c r="F429" s="6" t="s">
        <v>30</v>
      </c>
      <c r="G429" s="6" t="s">
        <v>31</v>
      </c>
      <c r="H429" s="6" t="s">
        <v>23</v>
      </c>
      <c r="I429" s="7" t="n">
        <v>8.5</v>
      </c>
      <c r="J429" s="7" t="n">
        <v>21</v>
      </c>
      <c r="K429" s="6" t="s">
        <v>25</v>
      </c>
      <c r="L429" s="6" t="n">
        <v>123</v>
      </c>
      <c r="M429" s="7" t="n">
        <f aca="false">L429*J429</f>
        <v>2583</v>
      </c>
      <c r="N429" s="7" t="n">
        <f aca="false">L429*I429</f>
        <v>1045.5</v>
      </c>
      <c r="O429" s="7" t="n">
        <f aca="false">M429-N429</f>
        <v>1537.5</v>
      </c>
      <c r="P429" s="8" t="n">
        <f aca="false">IFERROR(O429/M429,0)</f>
        <v>0.595238095238095</v>
      </c>
    </row>
    <row r="430" customFormat="false" ht="15" hidden="false" customHeight="true" outlineLevel="0" collapsed="false">
      <c r="A430" s="3" t="s">
        <v>72</v>
      </c>
      <c r="B430" s="3" t="s">
        <v>73</v>
      </c>
      <c r="C430" s="3" t="s">
        <v>74</v>
      </c>
      <c r="D430" s="3" t="s">
        <v>60</v>
      </c>
      <c r="E430" s="3" t="s">
        <v>52</v>
      </c>
      <c r="F430" s="3" t="s">
        <v>30</v>
      </c>
      <c r="G430" s="3" t="s">
        <v>31</v>
      </c>
      <c r="H430" s="3" t="s">
        <v>23</v>
      </c>
      <c r="I430" s="4" t="n">
        <v>8.5</v>
      </c>
      <c r="J430" s="4" t="n">
        <v>21</v>
      </c>
      <c r="K430" s="3" t="s">
        <v>26</v>
      </c>
      <c r="L430" s="3" t="n">
        <v>288</v>
      </c>
      <c r="M430" s="4" t="n">
        <f aca="false">L430*J430</f>
        <v>6048</v>
      </c>
      <c r="N430" s="4" t="n">
        <f aca="false">L430*I430</f>
        <v>2448</v>
      </c>
      <c r="O430" s="4" t="n">
        <f aca="false">M430-N430</f>
        <v>3600</v>
      </c>
      <c r="P430" s="5" t="n">
        <f aca="false">IFERROR(O430/M430,0)</f>
        <v>0.595238095238095</v>
      </c>
    </row>
    <row r="431" customFormat="false" ht="15" hidden="false" customHeight="true" outlineLevel="0" collapsed="false">
      <c r="A431" s="6" t="s">
        <v>72</v>
      </c>
      <c r="B431" s="6" t="s">
        <v>73</v>
      </c>
      <c r="C431" s="6" t="s">
        <v>74</v>
      </c>
      <c r="D431" s="6" t="s">
        <v>60</v>
      </c>
      <c r="E431" s="6" t="s">
        <v>52</v>
      </c>
      <c r="F431" s="6" t="s">
        <v>30</v>
      </c>
      <c r="G431" s="6" t="s">
        <v>31</v>
      </c>
      <c r="H431" s="6" t="s">
        <v>23</v>
      </c>
      <c r="I431" s="7" t="n">
        <v>8.5</v>
      </c>
      <c r="J431" s="7" t="n">
        <v>21</v>
      </c>
      <c r="K431" s="6" t="s">
        <v>27</v>
      </c>
      <c r="L431" s="6" t="n">
        <v>287</v>
      </c>
      <c r="M431" s="7" t="n">
        <f aca="false">L431*J431</f>
        <v>6027</v>
      </c>
      <c r="N431" s="7" t="n">
        <f aca="false">L431*I431</f>
        <v>2439.5</v>
      </c>
      <c r="O431" s="7" t="n">
        <f aca="false">M431-N431</f>
        <v>3587.5</v>
      </c>
      <c r="P431" s="8" t="n">
        <f aca="false">IFERROR(O431/M431,0)</f>
        <v>0.595238095238095</v>
      </c>
    </row>
    <row r="432" customFormat="false" ht="15" hidden="false" customHeight="true" outlineLevel="0" collapsed="false">
      <c r="A432" s="3" t="s">
        <v>72</v>
      </c>
      <c r="B432" s="3" t="s">
        <v>73</v>
      </c>
      <c r="C432" s="3" t="s">
        <v>74</v>
      </c>
      <c r="D432" s="3" t="s">
        <v>60</v>
      </c>
      <c r="E432" s="3" t="s">
        <v>52</v>
      </c>
      <c r="F432" s="3" t="s">
        <v>30</v>
      </c>
      <c r="G432" s="3" t="s">
        <v>31</v>
      </c>
      <c r="H432" s="3" t="s">
        <v>23</v>
      </c>
      <c r="I432" s="4" t="n">
        <v>8.5</v>
      </c>
      <c r="J432" s="4" t="n">
        <v>21</v>
      </c>
      <c r="K432" s="3" t="s">
        <v>28</v>
      </c>
      <c r="L432" s="3" t="n">
        <v>325</v>
      </c>
      <c r="M432" s="4" t="n">
        <f aca="false">L432*J432</f>
        <v>6825</v>
      </c>
      <c r="N432" s="4" t="n">
        <f aca="false">L432*I432</f>
        <v>2762.5</v>
      </c>
      <c r="O432" s="4" t="n">
        <f aca="false">M432-N432</f>
        <v>4062.5</v>
      </c>
      <c r="P432" s="5" t="n">
        <f aca="false">IFERROR(O432/M432,0)</f>
        <v>0.595238095238095</v>
      </c>
    </row>
    <row r="433" customFormat="false" ht="15" hidden="false" customHeight="true" outlineLevel="0" collapsed="false">
      <c r="A433" s="6" t="s">
        <v>72</v>
      </c>
      <c r="B433" s="6" t="s">
        <v>73</v>
      </c>
      <c r="C433" s="6" t="s">
        <v>74</v>
      </c>
      <c r="D433" s="6" t="s">
        <v>60</v>
      </c>
      <c r="E433" s="6" t="s">
        <v>52</v>
      </c>
      <c r="F433" s="6" t="s">
        <v>30</v>
      </c>
      <c r="G433" s="6" t="s">
        <v>31</v>
      </c>
      <c r="H433" s="6" t="s">
        <v>23</v>
      </c>
      <c r="I433" s="7" t="n">
        <v>8.5</v>
      </c>
      <c r="J433" s="7" t="n">
        <v>21</v>
      </c>
      <c r="K433" s="6" t="s">
        <v>29</v>
      </c>
      <c r="L433" s="6" t="n">
        <v>310</v>
      </c>
      <c r="M433" s="7" t="n">
        <f aca="false">L433*J433</f>
        <v>6510</v>
      </c>
      <c r="N433" s="7" t="n">
        <f aca="false">L433*I433</f>
        <v>2635</v>
      </c>
      <c r="O433" s="7" t="n">
        <f aca="false">M433-N433</f>
        <v>3875</v>
      </c>
      <c r="P433" s="8" t="n">
        <f aca="false">IFERROR(O433/M433,0)</f>
        <v>0.595238095238095</v>
      </c>
    </row>
    <row r="434" customFormat="false" ht="15" hidden="false" customHeight="true" outlineLevel="0" collapsed="false">
      <c r="A434" s="3" t="s">
        <v>72</v>
      </c>
      <c r="B434" s="3" t="s">
        <v>73</v>
      </c>
      <c r="C434" s="3" t="s">
        <v>74</v>
      </c>
      <c r="D434" s="3" t="s">
        <v>60</v>
      </c>
      <c r="E434" s="3" t="s">
        <v>52</v>
      </c>
      <c r="F434" s="3" t="s">
        <v>32</v>
      </c>
      <c r="G434" s="3" t="s">
        <v>33</v>
      </c>
      <c r="H434" s="3" t="s">
        <v>23</v>
      </c>
      <c r="I434" s="4" t="n">
        <v>2.5</v>
      </c>
      <c r="J434" s="4" t="n">
        <v>4.5</v>
      </c>
      <c r="K434" s="3" t="s">
        <v>24</v>
      </c>
      <c r="L434" s="3" t="n">
        <v>187</v>
      </c>
      <c r="M434" s="4" t="n">
        <f aca="false">L434*J434</f>
        <v>841.5</v>
      </c>
      <c r="N434" s="4" t="n">
        <f aca="false">L434*I434</f>
        <v>467.5</v>
      </c>
      <c r="O434" s="4" t="n">
        <f aca="false">M434-N434</f>
        <v>374</v>
      </c>
      <c r="P434" s="5" t="n">
        <f aca="false">IFERROR(O434/M434,0)</f>
        <v>0.444444444444444</v>
      </c>
    </row>
    <row r="435" customFormat="false" ht="15" hidden="false" customHeight="true" outlineLevel="0" collapsed="false">
      <c r="A435" s="6" t="s">
        <v>72</v>
      </c>
      <c r="B435" s="6" t="s">
        <v>73</v>
      </c>
      <c r="C435" s="6" t="s">
        <v>74</v>
      </c>
      <c r="D435" s="6" t="s">
        <v>60</v>
      </c>
      <c r="E435" s="6" t="s">
        <v>52</v>
      </c>
      <c r="F435" s="6" t="s">
        <v>32</v>
      </c>
      <c r="G435" s="6" t="s">
        <v>33</v>
      </c>
      <c r="H435" s="6" t="s">
        <v>23</v>
      </c>
      <c r="I435" s="7" t="n">
        <v>2.5</v>
      </c>
      <c r="J435" s="7" t="n">
        <v>4.5</v>
      </c>
      <c r="K435" s="6" t="s">
        <v>25</v>
      </c>
      <c r="L435" s="6" t="n">
        <v>106</v>
      </c>
      <c r="M435" s="7" t="n">
        <f aca="false">L435*J435</f>
        <v>477</v>
      </c>
      <c r="N435" s="7" t="n">
        <f aca="false">L435*I435</f>
        <v>265</v>
      </c>
      <c r="O435" s="7" t="n">
        <f aca="false">M435-N435</f>
        <v>212</v>
      </c>
      <c r="P435" s="8" t="n">
        <f aca="false">IFERROR(O435/M435,0)</f>
        <v>0.444444444444444</v>
      </c>
    </row>
    <row r="436" customFormat="false" ht="15" hidden="false" customHeight="true" outlineLevel="0" collapsed="false">
      <c r="A436" s="3" t="s">
        <v>72</v>
      </c>
      <c r="B436" s="3" t="s">
        <v>73</v>
      </c>
      <c r="C436" s="3" t="s">
        <v>74</v>
      </c>
      <c r="D436" s="3" t="s">
        <v>60</v>
      </c>
      <c r="E436" s="3" t="s">
        <v>52</v>
      </c>
      <c r="F436" s="3" t="s">
        <v>32</v>
      </c>
      <c r="G436" s="3" t="s">
        <v>33</v>
      </c>
      <c r="H436" s="3" t="s">
        <v>23</v>
      </c>
      <c r="I436" s="4" t="n">
        <v>2.5</v>
      </c>
      <c r="J436" s="4" t="n">
        <v>4.5</v>
      </c>
      <c r="K436" s="3" t="s">
        <v>26</v>
      </c>
      <c r="L436" s="3" t="n">
        <v>269</v>
      </c>
      <c r="M436" s="4" t="n">
        <f aca="false">L436*J436</f>
        <v>1210.5</v>
      </c>
      <c r="N436" s="4" t="n">
        <f aca="false">L436*I436</f>
        <v>672.5</v>
      </c>
      <c r="O436" s="4" t="n">
        <f aca="false">M436-N436</f>
        <v>538</v>
      </c>
      <c r="P436" s="5" t="n">
        <f aca="false">IFERROR(O436/M436,0)</f>
        <v>0.444444444444444</v>
      </c>
    </row>
    <row r="437" customFormat="false" ht="15" hidden="false" customHeight="true" outlineLevel="0" collapsed="false">
      <c r="A437" s="6" t="s">
        <v>72</v>
      </c>
      <c r="B437" s="6" t="s">
        <v>73</v>
      </c>
      <c r="C437" s="6" t="s">
        <v>74</v>
      </c>
      <c r="D437" s="6" t="s">
        <v>60</v>
      </c>
      <c r="E437" s="6" t="s">
        <v>52</v>
      </c>
      <c r="F437" s="6" t="s">
        <v>32</v>
      </c>
      <c r="G437" s="6" t="s">
        <v>33</v>
      </c>
      <c r="H437" s="6" t="s">
        <v>23</v>
      </c>
      <c r="I437" s="7" t="n">
        <v>2.5</v>
      </c>
      <c r="J437" s="7" t="n">
        <v>4.5</v>
      </c>
      <c r="K437" s="6" t="s">
        <v>27</v>
      </c>
      <c r="L437" s="6" t="n">
        <v>187</v>
      </c>
      <c r="M437" s="7" t="n">
        <f aca="false">L437*J437</f>
        <v>841.5</v>
      </c>
      <c r="N437" s="7" t="n">
        <f aca="false">L437*I437</f>
        <v>467.5</v>
      </c>
      <c r="O437" s="7" t="n">
        <f aca="false">M437-N437</f>
        <v>374</v>
      </c>
      <c r="P437" s="8" t="n">
        <f aca="false">IFERROR(O437/M437,0)</f>
        <v>0.444444444444444</v>
      </c>
    </row>
    <row r="438" customFormat="false" ht="15" hidden="false" customHeight="true" outlineLevel="0" collapsed="false">
      <c r="A438" s="3" t="s">
        <v>72</v>
      </c>
      <c r="B438" s="3" t="s">
        <v>73</v>
      </c>
      <c r="C438" s="3" t="s">
        <v>74</v>
      </c>
      <c r="D438" s="3" t="s">
        <v>60</v>
      </c>
      <c r="E438" s="3" t="s">
        <v>52</v>
      </c>
      <c r="F438" s="3" t="s">
        <v>32</v>
      </c>
      <c r="G438" s="3" t="s">
        <v>33</v>
      </c>
      <c r="H438" s="3" t="s">
        <v>23</v>
      </c>
      <c r="I438" s="4" t="n">
        <v>2.5</v>
      </c>
      <c r="J438" s="4" t="n">
        <v>4.5</v>
      </c>
      <c r="K438" s="3" t="s">
        <v>28</v>
      </c>
      <c r="L438" s="3" t="n">
        <v>61</v>
      </c>
      <c r="M438" s="4" t="n">
        <f aca="false">L438*J438</f>
        <v>274.5</v>
      </c>
      <c r="N438" s="4" t="n">
        <f aca="false">L438*I438</f>
        <v>152.5</v>
      </c>
      <c r="O438" s="4" t="n">
        <f aca="false">M438-N438</f>
        <v>122</v>
      </c>
      <c r="P438" s="5" t="n">
        <f aca="false">IFERROR(O438/M438,0)</f>
        <v>0.444444444444444</v>
      </c>
    </row>
    <row r="439" customFormat="false" ht="15" hidden="false" customHeight="true" outlineLevel="0" collapsed="false">
      <c r="A439" s="6" t="s">
        <v>72</v>
      </c>
      <c r="B439" s="6" t="s">
        <v>73</v>
      </c>
      <c r="C439" s="6" t="s">
        <v>74</v>
      </c>
      <c r="D439" s="6" t="s">
        <v>60</v>
      </c>
      <c r="E439" s="6" t="s">
        <v>52</v>
      </c>
      <c r="F439" s="6" t="s">
        <v>32</v>
      </c>
      <c r="G439" s="6" t="s">
        <v>33</v>
      </c>
      <c r="H439" s="6" t="s">
        <v>23</v>
      </c>
      <c r="I439" s="7" t="n">
        <v>2.5</v>
      </c>
      <c r="J439" s="7" t="n">
        <v>4.5</v>
      </c>
      <c r="K439" s="6" t="s">
        <v>29</v>
      </c>
      <c r="L439" s="6" t="n">
        <v>97</v>
      </c>
      <c r="M439" s="7" t="n">
        <f aca="false">L439*J439</f>
        <v>436.5</v>
      </c>
      <c r="N439" s="7" t="n">
        <f aca="false">L439*I439</f>
        <v>242.5</v>
      </c>
      <c r="O439" s="7" t="n">
        <f aca="false">M439-N439</f>
        <v>194</v>
      </c>
      <c r="P439" s="8" t="n">
        <f aca="false">IFERROR(O439/M439,0)</f>
        <v>0.444444444444444</v>
      </c>
    </row>
    <row r="440" customFormat="false" ht="15" hidden="false" customHeight="true" outlineLevel="0" collapsed="false">
      <c r="A440" s="3" t="s">
        <v>72</v>
      </c>
      <c r="B440" s="3" t="s">
        <v>73</v>
      </c>
      <c r="C440" s="3" t="s">
        <v>74</v>
      </c>
      <c r="D440" s="3" t="s">
        <v>60</v>
      </c>
      <c r="E440" s="3" t="s">
        <v>52</v>
      </c>
      <c r="F440" s="3" t="s">
        <v>34</v>
      </c>
      <c r="G440" s="3" t="s">
        <v>35</v>
      </c>
      <c r="H440" s="3" t="s">
        <v>23</v>
      </c>
      <c r="I440" s="4" t="n">
        <v>6</v>
      </c>
      <c r="J440" s="4" t="n">
        <v>12.5</v>
      </c>
      <c r="K440" s="3" t="s">
        <v>24</v>
      </c>
      <c r="L440" s="3" t="n">
        <v>159</v>
      </c>
      <c r="M440" s="4" t="n">
        <f aca="false">L440*J440</f>
        <v>1987.5</v>
      </c>
      <c r="N440" s="4" t="n">
        <f aca="false">L440*I440</f>
        <v>954</v>
      </c>
      <c r="O440" s="4" t="n">
        <f aca="false">M440-N440</f>
        <v>1033.5</v>
      </c>
      <c r="P440" s="5" t="n">
        <f aca="false">IFERROR(O440/M440,0)</f>
        <v>0.52</v>
      </c>
    </row>
    <row r="441" customFormat="false" ht="15" hidden="false" customHeight="true" outlineLevel="0" collapsed="false">
      <c r="A441" s="6" t="s">
        <v>72</v>
      </c>
      <c r="B441" s="6" t="s">
        <v>73</v>
      </c>
      <c r="C441" s="6" t="s">
        <v>74</v>
      </c>
      <c r="D441" s="6" t="s">
        <v>60</v>
      </c>
      <c r="E441" s="6" t="s">
        <v>52</v>
      </c>
      <c r="F441" s="6" t="s">
        <v>34</v>
      </c>
      <c r="G441" s="6" t="s">
        <v>35</v>
      </c>
      <c r="H441" s="6" t="s">
        <v>23</v>
      </c>
      <c r="I441" s="7" t="n">
        <v>6</v>
      </c>
      <c r="J441" s="7" t="n">
        <v>12.5</v>
      </c>
      <c r="K441" s="6" t="s">
        <v>25</v>
      </c>
      <c r="L441" s="6" t="n">
        <v>86</v>
      </c>
      <c r="M441" s="7" t="n">
        <f aca="false">L441*J441</f>
        <v>1075</v>
      </c>
      <c r="N441" s="7" t="n">
        <f aca="false">L441*I441</f>
        <v>516</v>
      </c>
      <c r="O441" s="7" t="n">
        <f aca="false">M441-N441</f>
        <v>559</v>
      </c>
      <c r="P441" s="8" t="n">
        <f aca="false">IFERROR(O441/M441,0)</f>
        <v>0.52</v>
      </c>
    </row>
    <row r="442" customFormat="false" ht="15" hidden="false" customHeight="true" outlineLevel="0" collapsed="false">
      <c r="A442" s="3" t="s">
        <v>72</v>
      </c>
      <c r="B442" s="3" t="s">
        <v>73</v>
      </c>
      <c r="C442" s="3" t="s">
        <v>74</v>
      </c>
      <c r="D442" s="3" t="s">
        <v>60</v>
      </c>
      <c r="E442" s="3" t="s">
        <v>52</v>
      </c>
      <c r="F442" s="3" t="s">
        <v>34</v>
      </c>
      <c r="G442" s="3" t="s">
        <v>35</v>
      </c>
      <c r="H442" s="3" t="s">
        <v>23</v>
      </c>
      <c r="I442" s="4" t="n">
        <v>6</v>
      </c>
      <c r="J442" s="4" t="n">
        <v>12.5</v>
      </c>
      <c r="K442" s="3" t="s">
        <v>26</v>
      </c>
      <c r="L442" s="3" t="n">
        <v>312</v>
      </c>
      <c r="M442" s="4" t="n">
        <f aca="false">L442*J442</f>
        <v>3900</v>
      </c>
      <c r="N442" s="4" t="n">
        <f aca="false">L442*I442</f>
        <v>1872</v>
      </c>
      <c r="O442" s="4" t="n">
        <f aca="false">M442-N442</f>
        <v>2028</v>
      </c>
      <c r="P442" s="5" t="n">
        <f aca="false">IFERROR(O442/M442,0)</f>
        <v>0.52</v>
      </c>
    </row>
    <row r="443" customFormat="false" ht="15" hidden="false" customHeight="true" outlineLevel="0" collapsed="false">
      <c r="A443" s="6" t="s">
        <v>72</v>
      </c>
      <c r="B443" s="6" t="s">
        <v>73</v>
      </c>
      <c r="C443" s="6" t="s">
        <v>74</v>
      </c>
      <c r="D443" s="6" t="s">
        <v>60</v>
      </c>
      <c r="E443" s="6" t="s">
        <v>52</v>
      </c>
      <c r="F443" s="6" t="s">
        <v>34</v>
      </c>
      <c r="G443" s="6" t="s">
        <v>35</v>
      </c>
      <c r="H443" s="6" t="s">
        <v>23</v>
      </c>
      <c r="I443" s="7" t="n">
        <v>6</v>
      </c>
      <c r="J443" s="7" t="n">
        <v>12.5</v>
      </c>
      <c r="K443" s="6" t="s">
        <v>27</v>
      </c>
      <c r="L443" s="6" t="n">
        <v>282</v>
      </c>
      <c r="M443" s="7" t="n">
        <f aca="false">L443*J443</f>
        <v>3525</v>
      </c>
      <c r="N443" s="7" t="n">
        <f aca="false">L443*I443</f>
        <v>1692</v>
      </c>
      <c r="O443" s="7" t="n">
        <f aca="false">M443-N443</f>
        <v>1833</v>
      </c>
      <c r="P443" s="8" t="n">
        <f aca="false">IFERROR(O443/M443,0)</f>
        <v>0.52</v>
      </c>
    </row>
    <row r="444" customFormat="false" ht="15" hidden="false" customHeight="true" outlineLevel="0" collapsed="false">
      <c r="A444" s="3" t="s">
        <v>72</v>
      </c>
      <c r="B444" s="3" t="s">
        <v>73</v>
      </c>
      <c r="C444" s="3" t="s">
        <v>74</v>
      </c>
      <c r="D444" s="3" t="s">
        <v>60</v>
      </c>
      <c r="E444" s="3" t="s">
        <v>52</v>
      </c>
      <c r="F444" s="3" t="s">
        <v>34</v>
      </c>
      <c r="G444" s="3" t="s">
        <v>35</v>
      </c>
      <c r="H444" s="3" t="s">
        <v>23</v>
      </c>
      <c r="I444" s="4" t="n">
        <v>6</v>
      </c>
      <c r="J444" s="4" t="n">
        <v>12.5</v>
      </c>
      <c r="K444" s="3" t="s">
        <v>28</v>
      </c>
      <c r="L444" s="3" t="n">
        <v>64</v>
      </c>
      <c r="M444" s="4" t="n">
        <f aca="false">L444*J444</f>
        <v>800</v>
      </c>
      <c r="N444" s="4" t="n">
        <f aca="false">L444*I444</f>
        <v>384</v>
      </c>
      <c r="O444" s="4" t="n">
        <f aca="false">M444-N444</f>
        <v>416</v>
      </c>
      <c r="P444" s="5" t="n">
        <f aca="false">IFERROR(O444/M444,0)</f>
        <v>0.52</v>
      </c>
    </row>
    <row r="445" customFormat="false" ht="15" hidden="false" customHeight="true" outlineLevel="0" collapsed="false">
      <c r="A445" s="6" t="s">
        <v>72</v>
      </c>
      <c r="B445" s="6" t="s">
        <v>73</v>
      </c>
      <c r="C445" s="6" t="s">
        <v>74</v>
      </c>
      <c r="D445" s="6" t="s">
        <v>60</v>
      </c>
      <c r="E445" s="6" t="s">
        <v>52</v>
      </c>
      <c r="F445" s="6" t="s">
        <v>34</v>
      </c>
      <c r="G445" s="6" t="s">
        <v>35</v>
      </c>
      <c r="H445" s="6" t="s">
        <v>23</v>
      </c>
      <c r="I445" s="7" t="n">
        <v>6</v>
      </c>
      <c r="J445" s="7" t="n">
        <v>12.5</v>
      </c>
      <c r="K445" s="6" t="s">
        <v>29</v>
      </c>
      <c r="L445" s="6" t="n">
        <v>384</v>
      </c>
      <c r="M445" s="7" t="n">
        <f aca="false">L445*J445</f>
        <v>4800</v>
      </c>
      <c r="N445" s="7" t="n">
        <f aca="false">L445*I445</f>
        <v>2304</v>
      </c>
      <c r="O445" s="7" t="n">
        <f aca="false">M445-N445</f>
        <v>2496</v>
      </c>
      <c r="P445" s="8" t="n">
        <f aca="false">IFERROR(O445/M445,0)</f>
        <v>0.52</v>
      </c>
    </row>
    <row r="446" customFormat="false" ht="15" hidden="false" customHeight="true" outlineLevel="0" collapsed="false">
      <c r="A446" s="3" t="s">
        <v>72</v>
      </c>
      <c r="B446" s="3" t="s">
        <v>73</v>
      </c>
      <c r="C446" s="3" t="s">
        <v>74</v>
      </c>
      <c r="D446" s="3" t="s">
        <v>60</v>
      </c>
      <c r="E446" s="3" t="s">
        <v>52</v>
      </c>
      <c r="F446" s="3" t="s">
        <v>36</v>
      </c>
      <c r="G446" s="3" t="s">
        <v>37</v>
      </c>
      <c r="H446" s="3" t="s">
        <v>23</v>
      </c>
      <c r="I446" s="4" t="n">
        <v>4.5</v>
      </c>
      <c r="J446" s="4" t="n">
        <v>7</v>
      </c>
      <c r="K446" s="3" t="s">
        <v>24</v>
      </c>
      <c r="L446" s="3" t="n">
        <v>295</v>
      </c>
      <c r="M446" s="4" t="n">
        <f aca="false">L446*J446</f>
        <v>2065</v>
      </c>
      <c r="N446" s="4" t="n">
        <f aca="false">L446*I446</f>
        <v>1327.5</v>
      </c>
      <c r="O446" s="4" t="n">
        <f aca="false">M446-N446</f>
        <v>737.5</v>
      </c>
      <c r="P446" s="5" t="n">
        <f aca="false">IFERROR(O446/M446,0)</f>
        <v>0.357142857142857</v>
      </c>
    </row>
    <row r="447" customFormat="false" ht="15" hidden="false" customHeight="true" outlineLevel="0" collapsed="false">
      <c r="A447" s="6" t="s">
        <v>72</v>
      </c>
      <c r="B447" s="6" t="s">
        <v>73</v>
      </c>
      <c r="C447" s="6" t="s">
        <v>74</v>
      </c>
      <c r="D447" s="6" t="s">
        <v>60</v>
      </c>
      <c r="E447" s="6" t="s">
        <v>52</v>
      </c>
      <c r="F447" s="6" t="s">
        <v>36</v>
      </c>
      <c r="G447" s="6" t="s">
        <v>37</v>
      </c>
      <c r="H447" s="6" t="s">
        <v>23</v>
      </c>
      <c r="I447" s="7" t="n">
        <v>4.5</v>
      </c>
      <c r="J447" s="7" t="n">
        <v>7</v>
      </c>
      <c r="K447" s="6" t="s">
        <v>25</v>
      </c>
      <c r="L447" s="6" t="n">
        <v>234</v>
      </c>
      <c r="M447" s="7" t="n">
        <f aca="false">L447*J447</f>
        <v>1638</v>
      </c>
      <c r="N447" s="7" t="n">
        <f aca="false">L447*I447</f>
        <v>1053</v>
      </c>
      <c r="O447" s="7" t="n">
        <f aca="false">M447-N447</f>
        <v>585</v>
      </c>
      <c r="P447" s="8" t="n">
        <f aca="false">IFERROR(O447/M447,0)</f>
        <v>0.357142857142857</v>
      </c>
    </row>
    <row r="448" customFormat="false" ht="15" hidden="false" customHeight="true" outlineLevel="0" collapsed="false">
      <c r="A448" s="3" t="s">
        <v>72</v>
      </c>
      <c r="B448" s="3" t="s">
        <v>73</v>
      </c>
      <c r="C448" s="3" t="s">
        <v>74</v>
      </c>
      <c r="D448" s="3" t="s">
        <v>60</v>
      </c>
      <c r="E448" s="3" t="s">
        <v>52</v>
      </c>
      <c r="F448" s="3" t="s">
        <v>36</v>
      </c>
      <c r="G448" s="3" t="s">
        <v>37</v>
      </c>
      <c r="H448" s="3" t="s">
        <v>23</v>
      </c>
      <c r="I448" s="4" t="n">
        <v>4.5</v>
      </c>
      <c r="J448" s="4" t="n">
        <v>7</v>
      </c>
      <c r="K448" s="3" t="s">
        <v>26</v>
      </c>
      <c r="L448" s="3" t="n">
        <v>145</v>
      </c>
      <c r="M448" s="4" t="n">
        <f aca="false">L448*J448</f>
        <v>1015</v>
      </c>
      <c r="N448" s="4" t="n">
        <f aca="false">L448*I448</f>
        <v>652.5</v>
      </c>
      <c r="O448" s="4" t="n">
        <f aca="false">M448-N448</f>
        <v>362.5</v>
      </c>
      <c r="P448" s="5" t="n">
        <f aca="false">IFERROR(O448/M448,0)</f>
        <v>0.357142857142857</v>
      </c>
    </row>
    <row r="449" customFormat="false" ht="15" hidden="false" customHeight="true" outlineLevel="0" collapsed="false">
      <c r="A449" s="6" t="s">
        <v>72</v>
      </c>
      <c r="B449" s="6" t="s">
        <v>73</v>
      </c>
      <c r="C449" s="6" t="s">
        <v>74</v>
      </c>
      <c r="D449" s="6" t="s">
        <v>60</v>
      </c>
      <c r="E449" s="6" t="s">
        <v>52</v>
      </c>
      <c r="F449" s="6" t="s">
        <v>36</v>
      </c>
      <c r="G449" s="6" t="s">
        <v>37</v>
      </c>
      <c r="H449" s="6" t="s">
        <v>23</v>
      </c>
      <c r="I449" s="7" t="n">
        <v>4.5</v>
      </c>
      <c r="J449" s="7" t="n">
        <v>7</v>
      </c>
      <c r="K449" s="6" t="s">
        <v>27</v>
      </c>
      <c r="L449" s="6" t="n">
        <v>100</v>
      </c>
      <c r="M449" s="7" t="n">
        <f aca="false">L449*J449</f>
        <v>700</v>
      </c>
      <c r="N449" s="7" t="n">
        <f aca="false">L449*I449</f>
        <v>450</v>
      </c>
      <c r="O449" s="7" t="n">
        <f aca="false">M449-N449</f>
        <v>250</v>
      </c>
      <c r="P449" s="8" t="n">
        <f aca="false">IFERROR(O449/M449,0)</f>
        <v>0.357142857142857</v>
      </c>
    </row>
    <row r="450" customFormat="false" ht="15" hidden="false" customHeight="true" outlineLevel="0" collapsed="false">
      <c r="A450" s="3" t="s">
        <v>72</v>
      </c>
      <c r="B450" s="3" t="s">
        <v>73</v>
      </c>
      <c r="C450" s="3" t="s">
        <v>74</v>
      </c>
      <c r="D450" s="3" t="s">
        <v>60</v>
      </c>
      <c r="E450" s="3" t="s">
        <v>52</v>
      </c>
      <c r="F450" s="3" t="s">
        <v>36</v>
      </c>
      <c r="G450" s="3" t="s">
        <v>37</v>
      </c>
      <c r="H450" s="3" t="s">
        <v>23</v>
      </c>
      <c r="I450" s="4" t="n">
        <v>4.5</v>
      </c>
      <c r="J450" s="4" t="n">
        <v>7</v>
      </c>
      <c r="K450" s="3" t="s">
        <v>28</v>
      </c>
      <c r="L450" s="3" t="n">
        <v>309</v>
      </c>
      <c r="M450" s="4" t="n">
        <f aca="false">L450*J450</f>
        <v>2163</v>
      </c>
      <c r="N450" s="4" t="n">
        <f aca="false">L450*I450</f>
        <v>1390.5</v>
      </c>
      <c r="O450" s="4" t="n">
        <f aca="false">M450-N450</f>
        <v>772.5</v>
      </c>
      <c r="P450" s="5" t="n">
        <f aca="false">IFERROR(O450/M450,0)</f>
        <v>0.357142857142857</v>
      </c>
    </row>
    <row r="451" customFormat="false" ht="15" hidden="false" customHeight="true" outlineLevel="0" collapsed="false">
      <c r="A451" s="6" t="s">
        <v>72</v>
      </c>
      <c r="B451" s="6" t="s">
        <v>73</v>
      </c>
      <c r="C451" s="6" t="s">
        <v>74</v>
      </c>
      <c r="D451" s="6" t="s">
        <v>60</v>
      </c>
      <c r="E451" s="6" t="s">
        <v>52</v>
      </c>
      <c r="F451" s="6" t="s">
        <v>36</v>
      </c>
      <c r="G451" s="6" t="s">
        <v>37</v>
      </c>
      <c r="H451" s="6" t="s">
        <v>23</v>
      </c>
      <c r="I451" s="7" t="n">
        <v>4.5</v>
      </c>
      <c r="J451" s="7" t="n">
        <v>7</v>
      </c>
      <c r="K451" s="6" t="s">
        <v>29</v>
      </c>
      <c r="L451" s="6" t="n">
        <v>109</v>
      </c>
      <c r="M451" s="7" t="n">
        <f aca="false">L451*J451</f>
        <v>763</v>
      </c>
      <c r="N451" s="7" t="n">
        <f aca="false">L451*I451</f>
        <v>490.5</v>
      </c>
      <c r="O451" s="7" t="n">
        <f aca="false">M451-N451</f>
        <v>272.5</v>
      </c>
      <c r="P451" s="8" t="n">
        <f aca="false">IFERROR(O451/M451,0)</f>
        <v>0.357142857142857</v>
      </c>
    </row>
    <row r="452" customFormat="false" ht="15" hidden="false" customHeight="true" outlineLevel="0" collapsed="false">
      <c r="A452" s="3" t="s">
        <v>72</v>
      </c>
      <c r="B452" s="3" t="s">
        <v>73</v>
      </c>
      <c r="C452" s="3" t="s">
        <v>74</v>
      </c>
      <c r="D452" s="3" t="s">
        <v>60</v>
      </c>
      <c r="E452" s="3" t="s">
        <v>52</v>
      </c>
      <c r="F452" s="3" t="s">
        <v>38</v>
      </c>
      <c r="G452" s="3" t="s">
        <v>39</v>
      </c>
      <c r="H452" s="3" t="s">
        <v>23</v>
      </c>
      <c r="I452" s="4" t="n">
        <v>9.9</v>
      </c>
      <c r="J452" s="4" t="n">
        <v>18</v>
      </c>
      <c r="K452" s="3" t="s">
        <v>24</v>
      </c>
      <c r="L452" s="3" t="n">
        <v>147</v>
      </c>
      <c r="M452" s="4" t="n">
        <f aca="false">L452*J452</f>
        <v>2646</v>
      </c>
      <c r="N452" s="4" t="n">
        <f aca="false">L452*I452</f>
        <v>1455.3</v>
      </c>
      <c r="O452" s="4" t="n">
        <f aca="false">M452-N452</f>
        <v>1190.7</v>
      </c>
      <c r="P452" s="5" t="n">
        <f aca="false">IFERROR(O452/M452,0)</f>
        <v>0.45</v>
      </c>
    </row>
    <row r="453" customFormat="false" ht="15" hidden="false" customHeight="true" outlineLevel="0" collapsed="false">
      <c r="A453" s="6" t="s">
        <v>72</v>
      </c>
      <c r="B453" s="6" t="s">
        <v>73</v>
      </c>
      <c r="C453" s="6" t="s">
        <v>74</v>
      </c>
      <c r="D453" s="6" t="s">
        <v>60</v>
      </c>
      <c r="E453" s="6" t="s">
        <v>52</v>
      </c>
      <c r="F453" s="6" t="s">
        <v>38</v>
      </c>
      <c r="G453" s="6" t="s">
        <v>39</v>
      </c>
      <c r="H453" s="6" t="s">
        <v>23</v>
      </c>
      <c r="I453" s="7" t="n">
        <v>9.9</v>
      </c>
      <c r="J453" s="7" t="n">
        <v>18</v>
      </c>
      <c r="K453" s="6" t="s">
        <v>25</v>
      </c>
      <c r="L453" s="6" t="n">
        <v>186</v>
      </c>
      <c r="M453" s="7" t="n">
        <f aca="false">L453*J453</f>
        <v>3348</v>
      </c>
      <c r="N453" s="7" t="n">
        <f aca="false">L453*I453</f>
        <v>1841.4</v>
      </c>
      <c r="O453" s="7" t="n">
        <f aca="false">M453-N453</f>
        <v>1506.6</v>
      </c>
      <c r="P453" s="8" t="n">
        <f aca="false">IFERROR(O453/M453,0)</f>
        <v>0.45</v>
      </c>
    </row>
    <row r="454" customFormat="false" ht="15" hidden="false" customHeight="true" outlineLevel="0" collapsed="false">
      <c r="A454" s="3" t="s">
        <v>72</v>
      </c>
      <c r="B454" s="3" t="s">
        <v>73</v>
      </c>
      <c r="C454" s="3" t="s">
        <v>74</v>
      </c>
      <c r="D454" s="3" t="s">
        <v>60</v>
      </c>
      <c r="E454" s="3" t="s">
        <v>52</v>
      </c>
      <c r="F454" s="3" t="s">
        <v>38</v>
      </c>
      <c r="G454" s="3" t="s">
        <v>39</v>
      </c>
      <c r="H454" s="3" t="s">
        <v>23</v>
      </c>
      <c r="I454" s="4" t="n">
        <v>9.9</v>
      </c>
      <c r="J454" s="4" t="n">
        <v>18</v>
      </c>
      <c r="K454" s="3" t="s">
        <v>26</v>
      </c>
      <c r="L454" s="3" t="n">
        <v>47</v>
      </c>
      <c r="M454" s="4" t="n">
        <f aca="false">L454*J454</f>
        <v>846</v>
      </c>
      <c r="N454" s="4" t="n">
        <f aca="false">L454*I454</f>
        <v>465.3</v>
      </c>
      <c r="O454" s="4" t="n">
        <f aca="false">M454-N454</f>
        <v>380.7</v>
      </c>
      <c r="P454" s="5" t="n">
        <f aca="false">IFERROR(O454/M454,0)</f>
        <v>0.45</v>
      </c>
    </row>
    <row r="455" customFormat="false" ht="15" hidden="false" customHeight="true" outlineLevel="0" collapsed="false">
      <c r="A455" s="6" t="s">
        <v>72</v>
      </c>
      <c r="B455" s="6" t="s">
        <v>73</v>
      </c>
      <c r="C455" s="6" t="s">
        <v>74</v>
      </c>
      <c r="D455" s="6" t="s">
        <v>60</v>
      </c>
      <c r="E455" s="6" t="s">
        <v>52</v>
      </c>
      <c r="F455" s="6" t="s">
        <v>38</v>
      </c>
      <c r="G455" s="6" t="s">
        <v>39</v>
      </c>
      <c r="H455" s="6" t="s">
        <v>23</v>
      </c>
      <c r="I455" s="7" t="n">
        <v>9.9</v>
      </c>
      <c r="J455" s="7" t="n">
        <v>18</v>
      </c>
      <c r="K455" s="6" t="s">
        <v>27</v>
      </c>
      <c r="L455" s="6" t="n">
        <v>241</v>
      </c>
      <c r="M455" s="7" t="n">
        <f aca="false">L455*J455</f>
        <v>4338</v>
      </c>
      <c r="N455" s="7" t="n">
        <f aca="false">L455*I455</f>
        <v>2385.9</v>
      </c>
      <c r="O455" s="7" t="n">
        <f aca="false">M455-N455</f>
        <v>1952.1</v>
      </c>
      <c r="P455" s="8" t="n">
        <f aca="false">IFERROR(O455/M455,0)</f>
        <v>0.45</v>
      </c>
    </row>
    <row r="456" customFormat="false" ht="15" hidden="false" customHeight="true" outlineLevel="0" collapsed="false">
      <c r="A456" s="3" t="s">
        <v>72</v>
      </c>
      <c r="B456" s="3" t="s">
        <v>73</v>
      </c>
      <c r="C456" s="3" t="s">
        <v>74</v>
      </c>
      <c r="D456" s="3" t="s">
        <v>60</v>
      </c>
      <c r="E456" s="3" t="s">
        <v>52</v>
      </c>
      <c r="F456" s="3" t="s">
        <v>38</v>
      </c>
      <c r="G456" s="3" t="s">
        <v>39</v>
      </c>
      <c r="H456" s="3" t="s">
        <v>23</v>
      </c>
      <c r="I456" s="4" t="n">
        <v>9.9</v>
      </c>
      <c r="J456" s="4" t="n">
        <v>18</v>
      </c>
      <c r="K456" s="3" t="s">
        <v>28</v>
      </c>
      <c r="L456" s="3" t="n">
        <v>167</v>
      </c>
      <c r="M456" s="4" t="n">
        <f aca="false">L456*J456</f>
        <v>3006</v>
      </c>
      <c r="N456" s="4" t="n">
        <f aca="false">L456*I456</f>
        <v>1653.3</v>
      </c>
      <c r="O456" s="4" t="n">
        <f aca="false">M456-N456</f>
        <v>1352.7</v>
      </c>
      <c r="P456" s="5" t="n">
        <f aca="false">IFERROR(O456/M456,0)</f>
        <v>0.45</v>
      </c>
    </row>
    <row r="457" customFormat="false" ht="15" hidden="false" customHeight="true" outlineLevel="0" collapsed="false">
      <c r="A457" s="6" t="s">
        <v>72</v>
      </c>
      <c r="B457" s="6" t="s">
        <v>73</v>
      </c>
      <c r="C457" s="6" t="s">
        <v>74</v>
      </c>
      <c r="D457" s="6" t="s">
        <v>60</v>
      </c>
      <c r="E457" s="6" t="s">
        <v>52</v>
      </c>
      <c r="F457" s="6" t="s">
        <v>38</v>
      </c>
      <c r="G457" s="6" t="s">
        <v>39</v>
      </c>
      <c r="H457" s="6" t="s">
        <v>23</v>
      </c>
      <c r="I457" s="7" t="n">
        <v>9.9</v>
      </c>
      <c r="J457" s="7" t="n">
        <v>18</v>
      </c>
      <c r="K457" s="6" t="s">
        <v>29</v>
      </c>
      <c r="L457" s="6" t="n">
        <v>338</v>
      </c>
      <c r="M457" s="7" t="n">
        <f aca="false">L457*J457</f>
        <v>6084</v>
      </c>
      <c r="N457" s="7" t="n">
        <f aca="false">L457*I457</f>
        <v>3346.2</v>
      </c>
      <c r="O457" s="7" t="n">
        <f aca="false">M457-N457</f>
        <v>2737.8</v>
      </c>
      <c r="P457" s="8" t="n">
        <f aca="false">IFERROR(O457/M457,0)</f>
        <v>0.45</v>
      </c>
    </row>
    <row r="458" customFormat="false" ht="15" hidden="false" customHeight="true" outlineLevel="0" collapsed="false">
      <c r="A458" s="3" t="s">
        <v>72</v>
      </c>
      <c r="B458" s="3" t="s">
        <v>73</v>
      </c>
      <c r="C458" s="3" t="s">
        <v>74</v>
      </c>
      <c r="D458" s="3" t="s">
        <v>60</v>
      </c>
      <c r="E458" s="3" t="s">
        <v>52</v>
      </c>
      <c r="F458" s="3" t="s">
        <v>40</v>
      </c>
      <c r="G458" s="3" t="s">
        <v>41</v>
      </c>
      <c r="H458" s="3" t="s">
        <v>42</v>
      </c>
      <c r="I458" s="4" t="n">
        <v>3.5</v>
      </c>
      <c r="J458" s="4" t="n">
        <v>6.5</v>
      </c>
      <c r="K458" s="3" t="s">
        <v>24</v>
      </c>
      <c r="L458" s="3" t="n">
        <v>113</v>
      </c>
      <c r="M458" s="4" t="n">
        <f aca="false">L458*J458</f>
        <v>734.5</v>
      </c>
      <c r="N458" s="4" t="n">
        <f aca="false">L458*I458</f>
        <v>395.5</v>
      </c>
      <c r="O458" s="4" t="n">
        <f aca="false">M458-N458</f>
        <v>339</v>
      </c>
      <c r="P458" s="5" t="n">
        <f aca="false">IFERROR(O458/M458,0)</f>
        <v>0.461538461538462</v>
      </c>
    </row>
    <row r="459" customFormat="false" ht="15" hidden="false" customHeight="true" outlineLevel="0" collapsed="false">
      <c r="A459" s="6" t="s">
        <v>72</v>
      </c>
      <c r="B459" s="6" t="s">
        <v>73</v>
      </c>
      <c r="C459" s="6" t="s">
        <v>74</v>
      </c>
      <c r="D459" s="6" t="s">
        <v>60</v>
      </c>
      <c r="E459" s="6" t="s">
        <v>52</v>
      </c>
      <c r="F459" s="6" t="s">
        <v>40</v>
      </c>
      <c r="G459" s="6" t="s">
        <v>41</v>
      </c>
      <c r="H459" s="6" t="s">
        <v>42</v>
      </c>
      <c r="I459" s="7" t="n">
        <v>3.5</v>
      </c>
      <c r="J459" s="7" t="n">
        <v>6.5</v>
      </c>
      <c r="K459" s="6" t="s">
        <v>25</v>
      </c>
      <c r="L459" s="6" t="n">
        <v>176</v>
      </c>
      <c r="M459" s="7" t="n">
        <f aca="false">L459*J459</f>
        <v>1144</v>
      </c>
      <c r="N459" s="7" t="n">
        <f aca="false">L459*I459</f>
        <v>616</v>
      </c>
      <c r="O459" s="7" t="n">
        <f aca="false">M459-N459</f>
        <v>528</v>
      </c>
      <c r="P459" s="8" t="n">
        <f aca="false">IFERROR(O459/M459,0)</f>
        <v>0.461538461538462</v>
      </c>
    </row>
    <row r="460" customFormat="false" ht="15" hidden="false" customHeight="true" outlineLevel="0" collapsed="false">
      <c r="A460" s="3" t="s">
        <v>72</v>
      </c>
      <c r="B460" s="3" t="s">
        <v>73</v>
      </c>
      <c r="C460" s="3" t="s">
        <v>74</v>
      </c>
      <c r="D460" s="3" t="s">
        <v>60</v>
      </c>
      <c r="E460" s="3" t="s">
        <v>52</v>
      </c>
      <c r="F460" s="3" t="s">
        <v>40</v>
      </c>
      <c r="G460" s="3" t="s">
        <v>41</v>
      </c>
      <c r="H460" s="3" t="s">
        <v>42</v>
      </c>
      <c r="I460" s="4" t="n">
        <v>3.5</v>
      </c>
      <c r="J460" s="4" t="n">
        <v>6.5</v>
      </c>
      <c r="K460" s="3" t="s">
        <v>26</v>
      </c>
      <c r="L460" s="3" t="n">
        <v>188</v>
      </c>
      <c r="M460" s="4" t="n">
        <f aca="false">L460*J460</f>
        <v>1222</v>
      </c>
      <c r="N460" s="4" t="n">
        <f aca="false">L460*I460</f>
        <v>658</v>
      </c>
      <c r="O460" s="4" t="n">
        <f aca="false">M460-N460</f>
        <v>564</v>
      </c>
      <c r="P460" s="5" t="n">
        <f aca="false">IFERROR(O460/M460,0)</f>
        <v>0.461538461538462</v>
      </c>
    </row>
    <row r="461" customFormat="false" ht="15" hidden="false" customHeight="true" outlineLevel="0" collapsed="false">
      <c r="A461" s="6" t="s">
        <v>72</v>
      </c>
      <c r="B461" s="6" t="s">
        <v>73</v>
      </c>
      <c r="C461" s="6" t="s">
        <v>74</v>
      </c>
      <c r="D461" s="6" t="s">
        <v>60</v>
      </c>
      <c r="E461" s="6" t="s">
        <v>52</v>
      </c>
      <c r="F461" s="6" t="s">
        <v>40</v>
      </c>
      <c r="G461" s="6" t="s">
        <v>41</v>
      </c>
      <c r="H461" s="6" t="s">
        <v>42</v>
      </c>
      <c r="I461" s="7" t="n">
        <v>3.5</v>
      </c>
      <c r="J461" s="7" t="n">
        <v>6.5</v>
      </c>
      <c r="K461" s="6" t="s">
        <v>27</v>
      </c>
      <c r="L461" s="6" t="n">
        <v>295</v>
      </c>
      <c r="M461" s="7" t="n">
        <f aca="false">L461*J461</f>
        <v>1917.5</v>
      </c>
      <c r="N461" s="7" t="n">
        <f aca="false">L461*I461</f>
        <v>1032.5</v>
      </c>
      <c r="O461" s="7" t="n">
        <f aca="false">M461-N461</f>
        <v>885</v>
      </c>
      <c r="P461" s="8" t="n">
        <f aca="false">IFERROR(O461/M461,0)</f>
        <v>0.461538461538462</v>
      </c>
    </row>
    <row r="462" customFormat="false" ht="15" hidden="false" customHeight="true" outlineLevel="0" collapsed="false">
      <c r="A462" s="3" t="s">
        <v>72</v>
      </c>
      <c r="B462" s="3" t="s">
        <v>73</v>
      </c>
      <c r="C462" s="3" t="s">
        <v>74</v>
      </c>
      <c r="D462" s="3" t="s">
        <v>60</v>
      </c>
      <c r="E462" s="3" t="s">
        <v>52</v>
      </c>
      <c r="F462" s="3" t="s">
        <v>40</v>
      </c>
      <c r="G462" s="3" t="s">
        <v>41</v>
      </c>
      <c r="H462" s="3" t="s">
        <v>42</v>
      </c>
      <c r="I462" s="4" t="n">
        <v>3.5</v>
      </c>
      <c r="J462" s="4" t="n">
        <v>6.5</v>
      </c>
      <c r="K462" s="3" t="s">
        <v>28</v>
      </c>
      <c r="L462" s="3" t="n">
        <v>188</v>
      </c>
      <c r="M462" s="4" t="n">
        <f aca="false">L462*J462</f>
        <v>1222</v>
      </c>
      <c r="N462" s="4" t="n">
        <f aca="false">L462*I462</f>
        <v>658</v>
      </c>
      <c r="O462" s="4" t="n">
        <f aca="false">M462-N462</f>
        <v>564</v>
      </c>
      <c r="P462" s="5" t="n">
        <f aca="false">IFERROR(O462/M462,0)</f>
        <v>0.461538461538462</v>
      </c>
    </row>
    <row r="463" customFormat="false" ht="15" hidden="false" customHeight="true" outlineLevel="0" collapsed="false">
      <c r="A463" s="6" t="s">
        <v>72</v>
      </c>
      <c r="B463" s="6" t="s">
        <v>73</v>
      </c>
      <c r="C463" s="6" t="s">
        <v>74</v>
      </c>
      <c r="D463" s="6" t="s">
        <v>60</v>
      </c>
      <c r="E463" s="6" t="s">
        <v>52</v>
      </c>
      <c r="F463" s="6" t="s">
        <v>40</v>
      </c>
      <c r="G463" s="6" t="s">
        <v>41</v>
      </c>
      <c r="H463" s="6" t="s">
        <v>42</v>
      </c>
      <c r="I463" s="7" t="n">
        <v>3.5</v>
      </c>
      <c r="J463" s="7" t="n">
        <v>6.5</v>
      </c>
      <c r="K463" s="6" t="s">
        <v>29</v>
      </c>
      <c r="L463" s="6" t="n">
        <v>137</v>
      </c>
      <c r="M463" s="7" t="n">
        <f aca="false">L463*J463</f>
        <v>890.5</v>
      </c>
      <c r="N463" s="7" t="n">
        <f aca="false">L463*I463</f>
        <v>479.5</v>
      </c>
      <c r="O463" s="7" t="n">
        <f aca="false">M463-N463</f>
        <v>411</v>
      </c>
      <c r="P463" s="8" t="n">
        <f aca="false">IFERROR(O463/M463,0)</f>
        <v>0.461538461538462</v>
      </c>
    </row>
    <row r="464" customFormat="false" ht="15" hidden="false" customHeight="true" outlineLevel="0" collapsed="false">
      <c r="A464" s="3" t="s">
        <v>72</v>
      </c>
      <c r="B464" s="3" t="s">
        <v>73</v>
      </c>
      <c r="C464" s="3" t="s">
        <v>74</v>
      </c>
      <c r="D464" s="3" t="s">
        <v>60</v>
      </c>
      <c r="E464" s="3" t="s">
        <v>52</v>
      </c>
      <c r="F464" s="3" t="s">
        <v>43</v>
      </c>
      <c r="G464" s="3" t="s">
        <v>44</v>
      </c>
      <c r="H464" s="3" t="s">
        <v>42</v>
      </c>
      <c r="I464" s="4" t="n">
        <v>2</v>
      </c>
      <c r="J464" s="4" t="n">
        <v>3.8</v>
      </c>
      <c r="K464" s="3" t="s">
        <v>24</v>
      </c>
      <c r="L464" s="3" t="n">
        <v>136</v>
      </c>
      <c r="M464" s="4" t="n">
        <f aca="false">L464*J464</f>
        <v>516.8</v>
      </c>
      <c r="N464" s="4" t="n">
        <f aca="false">L464*I464</f>
        <v>272</v>
      </c>
      <c r="O464" s="4" t="n">
        <f aca="false">M464-N464</f>
        <v>244.8</v>
      </c>
      <c r="P464" s="5" t="n">
        <f aca="false">IFERROR(O464/M464,0)</f>
        <v>0.473684210526316</v>
      </c>
    </row>
    <row r="465" customFormat="false" ht="15" hidden="false" customHeight="true" outlineLevel="0" collapsed="false">
      <c r="A465" s="6" t="s">
        <v>72</v>
      </c>
      <c r="B465" s="6" t="s">
        <v>73</v>
      </c>
      <c r="C465" s="6" t="s">
        <v>74</v>
      </c>
      <c r="D465" s="6" t="s">
        <v>60</v>
      </c>
      <c r="E465" s="6" t="s">
        <v>52</v>
      </c>
      <c r="F465" s="6" t="s">
        <v>43</v>
      </c>
      <c r="G465" s="6" t="s">
        <v>44</v>
      </c>
      <c r="H465" s="6" t="s">
        <v>42</v>
      </c>
      <c r="I465" s="7" t="n">
        <v>2</v>
      </c>
      <c r="J465" s="7" t="n">
        <v>3.8</v>
      </c>
      <c r="K465" s="6" t="s">
        <v>25</v>
      </c>
      <c r="L465" s="6" t="n">
        <v>269</v>
      </c>
      <c r="M465" s="7" t="n">
        <f aca="false">L465*J465</f>
        <v>1022.2</v>
      </c>
      <c r="N465" s="7" t="n">
        <f aca="false">L465*I465</f>
        <v>538</v>
      </c>
      <c r="O465" s="7" t="n">
        <f aca="false">M465-N465</f>
        <v>484.2</v>
      </c>
      <c r="P465" s="8" t="n">
        <f aca="false">IFERROR(O465/M465,0)</f>
        <v>0.473684210526316</v>
      </c>
    </row>
    <row r="466" customFormat="false" ht="15" hidden="false" customHeight="true" outlineLevel="0" collapsed="false">
      <c r="A466" s="3" t="s">
        <v>72</v>
      </c>
      <c r="B466" s="3" t="s">
        <v>73</v>
      </c>
      <c r="C466" s="3" t="s">
        <v>74</v>
      </c>
      <c r="D466" s="3" t="s">
        <v>60</v>
      </c>
      <c r="E466" s="3" t="s">
        <v>52</v>
      </c>
      <c r="F466" s="3" t="s">
        <v>43</v>
      </c>
      <c r="G466" s="3" t="s">
        <v>44</v>
      </c>
      <c r="H466" s="3" t="s">
        <v>42</v>
      </c>
      <c r="I466" s="4" t="n">
        <v>2</v>
      </c>
      <c r="J466" s="4" t="n">
        <v>3.8</v>
      </c>
      <c r="K466" s="3" t="s">
        <v>26</v>
      </c>
      <c r="L466" s="3" t="n">
        <v>69</v>
      </c>
      <c r="M466" s="4" t="n">
        <f aca="false">L466*J466</f>
        <v>262.2</v>
      </c>
      <c r="N466" s="4" t="n">
        <f aca="false">L466*I466</f>
        <v>138</v>
      </c>
      <c r="O466" s="4" t="n">
        <f aca="false">M466-N466</f>
        <v>124.2</v>
      </c>
      <c r="P466" s="5" t="n">
        <f aca="false">IFERROR(O466/M466,0)</f>
        <v>0.473684210526316</v>
      </c>
    </row>
    <row r="467" customFormat="false" ht="15" hidden="false" customHeight="true" outlineLevel="0" collapsed="false">
      <c r="A467" s="6" t="s">
        <v>72</v>
      </c>
      <c r="B467" s="6" t="s">
        <v>73</v>
      </c>
      <c r="C467" s="6" t="s">
        <v>74</v>
      </c>
      <c r="D467" s="6" t="s">
        <v>60</v>
      </c>
      <c r="E467" s="6" t="s">
        <v>52</v>
      </c>
      <c r="F467" s="6" t="s">
        <v>43</v>
      </c>
      <c r="G467" s="6" t="s">
        <v>44</v>
      </c>
      <c r="H467" s="6" t="s">
        <v>42</v>
      </c>
      <c r="I467" s="7" t="n">
        <v>2</v>
      </c>
      <c r="J467" s="7" t="n">
        <v>3.8</v>
      </c>
      <c r="K467" s="6" t="s">
        <v>27</v>
      </c>
      <c r="L467" s="6" t="n">
        <v>254</v>
      </c>
      <c r="M467" s="7" t="n">
        <f aca="false">L467*J467</f>
        <v>965.2</v>
      </c>
      <c r="N467" s="7" t="n">
        <f aca="false">L467*I467</f>
        <v>508</v>
      </c>
      <c r="O467" s="7" t="n">
        <f aca="false">M467-N467</f>
        <v>457.2</v>
      </c>
      <c r="P467" s="8" t="n">
        <f aca="false">IFERROR(O467/M467,0)</f>
        <v>0.473684210526316</v>
      </c>
    </row>
    <row r="468" customFormat="false" ht="15" hidden="false" customHeight="true" outlineLevel="0" collapsed="false">
      <c r="A468" s="3" t="s">
        <v>72</v>
      </c>
      <c r="B468" s="3" t="s">
        <v>73</v>
      </c>
      <c r="C468" s="3" t="s">
        <v>74</v>
      </c>
      <c r="D468" s="3" t="s">
        <v>60</v>
      </c>
      <c r="E468" s="3" t="s">
        <v>52</v>
      </c>
      <c r="F468" s="3" t="s">
        <v>43</v>
      </c>
      <c r="G468" s="3" t="s">
        <v>44</v>
      </c>
      <c r="H468" s="3" t="s">
        <v>42</v>
      </c>
      <c r="I468" s="4" t="n">
        <v>2</v>
      </c>
      <c r="J468" s="4" t="n">
        <v>3.8</v>
      </c>
      <c r="K468" s="3" t="s">
        <v>28</v>
      </c>
      <c r="L468" s="3" t="n">
        <v>344</v>
      </c>
      <c r="M468" s="4" t="n">
        <f aca="false">L468*J468</f>
        <v>1307.2</v>
      </c>
      <c r="N468" s="4" t="n">
        <f aca="false">L468*I468</f>
        <v>688</v>
      </c>
      <c r="O468" s="4" t="n">
        <f aca="false">M468-N468</f>
        <v>619.2</v>
      </c>
      <c r="P468" s="5" t="n">
        <f aca="false">IFERROR(O468/M468,0)</f>
        <v>0.473684210526316</v>
      </c>
    </row>
    <row r="469" customFormat="false" ht="15" hidden="false" customHeight="true" outlineLevel="0" collapsed="false">
      <c r="A469" s="6" t="s">
        <v>72</v>
      </c>
      <c r="B469" s="6" t="s">
        <v>73</v>
      </c>
      <c r="C469" s="6" t="s">
        <v>74</v>
      </c>
      <c r="D469" s="6" t="s">
        <v>60</v>
      </c>
      <c r="E469" s="6" t="s">
        <v>52</v>
      </c>
      <c r="F469" s="6" t="s">
        <v>43</v>
      </c>
      <c r="G469" s="6" t="s">
        <v>44</v>
      </c>
      <c r="H469" s="6" t="s">
        <v>42</v>
      </c>
      <c r="I469" s="7" t="n">
        <v>2</v>
      </c>
      <c r="J469" s="7" t="n">
        <v>3.8</v>
      </c>
      <c r="K469" s="6" t="s">
        <v>29</v>
      </c>
      <c r="L469" s="6" t="n">
        <v>39</v>
      </c>
      <c r="M469" s="7" t="n">
        <f aca="false">L469*J469</f>
        <v>148.2</v>
      </c>
      <c r="N469" s="7" t="n">
        <f aca="false">L469*I469</f>
        <v>78</v>
      </c>
      <c r="O469" s="7" t="n">
        <f aca="false">M469-N469</f>
        <v>70.2</v>
      </c>
      <c r="P469" s="8" t="n">
        <f aca="false">IFERROR(O469/M469,0)</f>
        <v>0.473684210526316</v>
      </c>
    </row>
    <row r="470" customFormat="false" ht="15" hidden="false" customHeight="true" outlineLevel="0" collapsed="false">
      <c r="A470" s="3" t="s">
        <v>72</v>
      </c>
      <c r="B470" s="3" t="s">
        <v>73</v>
      </c>
      <c r="C470" s="3" t="s">
        <v>74</v>
      </c>
      <c r="D470" s="3" t="s">
        <v>60</v>
      </c>
      <c r="E470" s="3" t="s">
        <v>52</v>
      </c>
      <c r="F470" s="3" t="s">
        <v>45</v>
      </c>
      <c r="G470" s="3" t="s">
        <v>46</v>
      </c>
      <c r="H470" s="3" t="s">
        <v>42</v>
      </c>
      <c r="I470" s="4" t="n">
        <v>5</v>
      </c>
      <c r="J470" s="4" t="n">
        <v>10</v>
      </c>
      <c r="K470" s="3" t="s">
        <v>24</v>
      </c>
      <c r="L470" s="3" t="n">
        <v>190</v>
      </c>
      <c r="M470" s="4" t="n">
        <f aca="false">L470*J470</f>
        <v>1900</v>
      </c>
      <c r="N470" s="4" t="n">
        <f aca="false">L470*I470</f>
        <v>950</v>
      </c>
      <c r="O470" s="4" t="n">
        <f aca="false">M470-N470</f>
        <v>950</v>
      </c>
      <c r="P470" s="5" t="n">
        <f aca="false">IFERROR(O470/M470,0)</f>
        <v>0.5</v>
      </c>
    </row>
    <row r="471" customFormat="false" ht="15" hidden="false" customHeight="true" outlineLevel="0" collapsed="false">
      <c r="A471" s="6" t="s">
        <v>72</v>
      </c>
      <c r="B471" s="6" t="s">
        <v>73</v>
      </c>
      <c r="C471" s="6" t="s">
        <v>74</v>
      </c>
      <c r="D471" s="6" t="s">
        <v>60</v>
      </c>
      <c r="E471" s="6" t="s">
        <v>52</v>
      </c>
      <c r="F471" s="6" t="s">
        <v>45</v>
      </c>
      <c r="G471" s="6" t="s">
        <v>46</v>
      </c>
      <c r="H471" s="6" t="s">
        <v>42</v>
      </c>
      <c r="I471" s="7" t="n">
        <v>5</v>
      </c>
      <c r="J471" s="7" t="n">
        <v>10</v>
      </c>
      <c r="K471" s="6" t="s">
        <v>25</v>
      </c>
      <c r="L471" s="6" t="n">
        <v>260</v>
      </c>
      <c r="M471" s="7" t="n">
        <f aca="false">L471*J471</f>
        <v>2600</v>
      </c>
      <c r="N471" s="7" t="n">
        <f aca="false">L471*I471</f>
        <v>1300</v>
      </c>
      <c r="O471" s="7" t="n">
        <f aca="false">M471-N471</f>
        <v>1300</v>
      </c>
      <c r="P471" s="8" t="n">
        <f aca="false">IFERROR(O471/M471,0)</f>
        <v>0.5</v>
      </c>
    </row>
    <row r="472" customFormat="false" ht="15" hidden="false" customHeight="true" outlineLevel="0" collapsed="false">
      <c r="A472" s="3" t="s">
        <v>72</v>
      </c>
      <c r="B472" s="3" t="s">
        <v>73</v>
      </c>
      <c r="C472" s="3" t="s">
        <v>74</v>
      </c>
      <c r="D472" s="3" t="s">
        <v>60</v>
      </c>
      <c r="E472" s="3" t="s">
        <v>52</v>
      </c>
      <c r="F472" s="3" t="s">
        <v>45</v>
      </c>
      <c r="G472" s="3" t="s">
        <v>46</v>
      </c>
      <c r="H472" s="3" t="s">
        <v>42</v>
      </c>
      <c r="I472" s="4" t="n">
        <v>5</v>
      </c>
      <c r="J472" s="4" t="n">
        <v>10</v>
      </c>
      <c r="K472" s="3" t="s">
        <v>26</v>
      </c>
      <c r="L472" s="3" t="n">
        <v>290</v>
      </c>
      <c r="M472" s="4" t="n">
        <f aca="false">L472*J472</f>
        <v>2900</v>
      </c>
      <c r="N472" s="4" t="n">
        <f aca="false">L472*I472</f>
        <v>1450</v>
      </c>
      <c r="O472" s="4" t="n">
        <f aca="false">M472-N472</f>
        <v>1450</v>
      </c>
      <c r="P472" s="5" t="n">
        <f aca="false">IFERROR(O472/M472,0)</f>
        <v>0.5</v>
      </c>
    </row>
    <row r="473" customFormat="false" ht="15" hidden="false" customHeight="true" outlineLevel="0" collapsed="false">
      <c r="A473" s="6" t="s">
        <v>72</v>
      </c>
      <c r="B473" s="6" t="s">
        <v>73</v>
      </c>
      <c r="C473" s="6" t="s">
        <v>74</v>
      </c>
      <c r="D473" s="6" t="s">
        <v>60</v>
      </c>
      <c r="E473" s="6" t="s">
        <v>52</v>
      </c>
      <c r="F473" s="6" t="s">
        <v>45</v>
      </c>
      <c r="G473" s="6" t="s">
        <v>46</v>
      </c>
      <c r="H473" s="6" t="s">
        <v>42</v>
      </c>
      <c r="I473" s="7" t="n">
        <v>5</v>
      </c>
      <c r="J473" s="7" t="n">
        <v>10</v>
      </c>
      <c r="K473" s="6" t="s">
        <v>27</v>
      </c>
      <c r="L473" s="6" t="n">
        <v>291</v>
      </c>
      <c r="M473" s="7" t="n">
        <f aca="false">L473*J473</f>
        <v>2910</v>
      </c>
      <c r="N473" s="7" t="n">
        <f aca="false">L473*I473</f>
        <v>1455</v>
      </c>
      <c r="O473" s="7" t="n">
        <f aca="false">M473-N473</f>
        <v>1455</v>
      </c>
      <c r="P473" s="8" t="n">
        <f aca="false">IFERROR(O473/M473,0)</f>
        <v>0.5</v>
      </c>
    </row>
    <row r="474" customFormat="false" ht="15" hidden="false" customHeight="true" outlineLevel="0" collapsed="false">
      <c r="A474" s="3" t="s">
        <v>72</v>
      </c>
      <c r="B474" s="3" t="s">
        <v>73</v>
      </c>
      <c r="C474" s="3" t="s">
        <v>74</v>
      </c>
      <c r="D474" s="3" t="s">
        <v>60</v>
      </c>
      <c r="E474" s="3" t="s">
        <v>52</v>
      </c>
      <c r="F474" s="3" t="s">
        <v>45</v>
      </c>
      <c r="G474" s="3" t="s">
        <v>46</v>
      </c>
      <c r="H474" s="3" t="s">
        <v>42</v>
      </c>
      <c r="I474" s="4" t="n">
        <v>5</v>
      </c>
      <c r="J474" s="4" t="n">
        <v>10</v>
      </c>
      <c r="K474" s="3" t="s">
        <v>28</v>
      </c>
      <c r="L474" s="3" t="n">
        <v>247</v>
      </c>
      <c r="M474" s="4" t="n">
        <f aca="false">L474*J474</f>
        <v>2470</v>
      </c>
      <c r="N474" s="4" t="n">
        <f aca="false">L474*I474</f>
        <v>1235</v>
      </c>
      <c r="O474" s="4" t="n">
        <f aca="false">M474-N474</f>
        <v>1235</v>
      </c>
      <c r="P474" s="5" t="n">
        <f aca="false">IFERROR(O474/M474,0)</f>
        <v>0.5</v>
      </c>
    </row>
    <row r="475" customFormat="false" ht="15" hidden="false" customHeight="true" outlineLevel="0" collapsed="false">
      <c r="A475" s="6" t="s">
        <v>72</v>
      </c>
      <c r="B475" s="6" t="s">
        <v>73</v>
      </c>
      <c r="C475" s="6" t="s">
        <v>74</v>
      </c>
      <c r="D475" s="6" t="s">
        <v>60</v>
      </c>
      <c r="E475" s="6" t="s">
        <v>52</v>
      </c>
      <c r="F475" s="6" t="s">
        <v>45</v>
      </c>
      <c r="G475" s="6" t="s">
        <v>46</v>
      </c>
      <c r="H475" s="6" t="s">
        <v>42</v>
      </c>
      <c r="I475" s="7" t="n">
        <v>5</v>
      </c>
      <c r="J475" s="7" t="n">
        <v>10</v>
      </c>
      <c r="K475" s="6" t="s">
        <v>29</v>
      </c>
      <c r="L475" s="6" t="n">
        <v>293</v>
      </c>
      <c r="M475" s="7" t="n">
        <f aca="false">L475*J475</f>
        <v>2930</v>
      </c>
      <c r="N475" s="7" t="n">
        <f aca="false">L475*I475</f>
        <v>1465</v>
      </c>
      <c r="O475" s="7" t="n">
        <f aca="false">M475-N475</f>
        <v>1465</v>
      </c>
      <c r="P475" s="8" t="n">
        <f aca="false">IFERROR(O475/M475,0)</f>
        <v>0.5</v>
      </c>
    </row>
    <row r="476" customFormat="false" ht="15" hidden="false" customHeight="true" outlineLevel="0" collapsed="false">
      <c r="A476" s="3" t="s">
        <v>72</v>
      </c>
      <c r="B476" s="3" t="s">
        <v>73</v>
      </c>
      <c r="C476" s="3" t="s">
        <v>74</v>
      </c>
      <c r="D476" s="3" t="s">
        <v>60</v>
      </c>
      <c r="E476" s="3" t="s">
        <v>52</v>
      </c>
      <c r="F476" s="3" t="s">
        <v>47</v>
      </c>
      <c r="G476" s="3" t="s">
        <v>48</v>
      </c>
      <c r="H476" s="3" t="s">
        <v>42</v>
      </c>
      <c r="I476" s="4" t="n">
        <v>2.8</v>
      </c>
      <c r="J476" s="4" t="n">
        <v>5.5</v>
      </c>
      <c r="K476" s="3" t="s">
        <v>24</v>
      </c>
      <c r="L476" s="3" t="n">
        <v>190</v>
      </c>
      <c r="M476" s="4" t="n">
        <f aca="false">L476*J476</f>
        <v>1045</v>
      </c>
      <c r="N476" s="4" t="n">
        <f aca="false">L476*I476</f>
        <v>532</v>
      </c>
      <c r="O476" s="4" t="n">
        <f aca="false">M476-N476</f>
        <v>513</v>
      </c>
      <c r="P476" s="5" t="n">
        <f aca="false">IFERROR(O476/M476,0)</f>
        <v>0.490909090909091</v>
      </c>
    </row>
    <row r="477" customFormat="false" ht="15" hidden="false" customHeight="true" outlineLevel="0" collapsed="false">
      <c r="A477" s="6" t="s">
        <v>72</v>
      </c>
      <c r="B477" s="6" t="s">
        <v>73</v>
      </c>
      <c r="C477" s="6" t="s">
        <v>74</v>
      </c>
      <c r="D477" s="6" t="s">
        <v>60</v>
      </c>
      <c r="E477" s="6" t="s">
        <v>52</v>
      </c>
      <c r="F477" s="6" t="s">
        <v>47</v>
      </c>
      <c r="G477" s="6" t="s">
        <v>48</v>
      </c>
      <c r="H477" s="6" t="s">
        <v>42</v>
      </c>
      <c r="I477" s="7" t="n">
        <v>2.8</v>
      </c>
      <c r="J477" s="7" t="n">
        <v>5.5</v>
      </c>
      <c r="K477" s="6" t="s">
        <v>25</v>
      </c>
      <c r="L477" s="6" t="n">
        <v>152</v>
      </c>
      <c r="M477" s="7" t="n">
        <f aca="false">L477*J477</f>
        <v>836</v>
      </c>
      <c r="N477" s="7" t="n">
        <f aca="false">L477*I477</f>
        <v>425.6</v>
      </c>
      <c r="O477" s="7" t="n">
        <f aca="false">M477-N477</f>
        <v>410.4</v>
      </c>
      <c r="P477" s="8" t="n">
        <f aca="false">IFERROR(O477/M477,0)</f>
        <v>0.490909090909091</v>
      </c>
    </row>
    <row r="478" customFormat="false" ht="15" hidden="false" customHeight="true" outlineLevel="0" collapsed="false">
      <c r="A478" s="3" t="s">
        <v>72</v>
      </c>
      <c r="B478" s="3" t="s">
        <v>73</v>
      </c>
      <c r="C478" s="3" t="s">
        <v>74</v>
      </c>
      <c r="D478" s="3" t="s">
        <v>60</v>
      </c>
      <c r="E478" s="3" t="s">
        <v>52</v>
      </c>
      <c r="F478" s="3" t="s">
        <v>47</v>
      </c>
      <c r="G478" s="3" t="s">
        <v>48</v>
      </c>
      <c r="H478" s="3" t="s">
        <v>42</v>
      </c>
      <c r="I478" s="4" t="n">
        <v>2.8</v>
      </c>
      <c r="J478" s="4" t="n">
        <v>5.5</v>
      </c>
      <c r="K478" s="3" t="s">
        <v>26</v>
      </c>
      <c r="L478" s="3" t="n">
        <v>245</v>
      </c>
      <c r="M478" s="4" t="n">
        <f aca="false">L478*J478</f>
        <v>1347.5</v>
      </c>
      <c r="N478" s="4" t="n">
        <f aca="false">L478*I478</f>
        <v>686</v>
      </c>
      <c r="O478" s="4" t="n">
        <f aca="false">M478-N478</f>
        <v>661.5</v>
      </c>
      <c r="P478" s="5" t="n">
        <f aca="false">IFERROR(O478/M478,0)</f>
        <v>0.490909090909091</v>
      </c>
    </row>
    <row r="479" customFormat="false" ht="15" hidden="false" customHeight="true" outlineLevel="0" collapsed="false">
      <c r="A479" s="6" t="s">
        <v>72</v>
      </c>
      <c r="B479" s="6" t="s">
        <v>73</v>
      </c>
      <c r="C479" s="6" t="s">
        <v>74</v>
      </c>
      <c r="D479" s="6" t="s">
        <v>60</v>
      </c>
      <c r="E479" s="6" t="s">
        <v>52</v>
      </c>
      <c r="F479" s="6" t="s">
        <v>47</v>
      </c>
      <c r="G479" s="6" t="s">
        <v>48</v>
      </c>
      <c r="H479" s="6" t="s">
        <v>42</v>
      </c>
      <c r="I479" s="7" t="n">
        <v>2.8</v>
      </c>
      <c r="J479" s="7" t="n">
        <v>5.5</v>
      </c>
      <c r="K479" s="6" t="s">
        <v>27</v>
      </c>
      <c r="L479" s="6" t="n">
        <v>243</v>
      </c>
      <c r="M479" s="7" t="n">
        <f aca="false">L479*J479</f>
        <v>1336.5</v>
      </c>
      <c r="N479" s="7" t="n">
        <f aca="false">L479*I479</f>
        <v>680.4</v>
      </c>
      <c r="O479" s="7" t="n">
        <f aca="false">M479-N479</f>
        <v>656.1</v>
      </c>
      <c r="P479" s="8" t="n">
        <f aca="false">IFERROR(O479/M479,0)</f>
        <v>0.490909090909091</v>
      </c>
    </row>
    <row r="480" customFormat="false" ht="15" hidden="false" customHeight="true" outlineLevel="0" collapsed="false">
      <c r="A480" s="3" t="s">
        <v>72</v>
      </c>
      <c r="B480" s="3" t="s">
        <v>73</v>
      </c>
      <c r="C480" s="3" t="s">
        <v>74</v>
      </c>
      <c r="D480" s="3" t="s">
        <v>60</v>
      </c>
      <c r="E480" s="3" t="s">
        <v>52</v>
      </c>
      <c r="F480" s="3" t="s">
        <v>47</v>
      </c>
      <c r="G480" s="3" t="s">
        <v>48</v>
      </c>
      <c r="H480" s="3" t="s">
        <v>42</v>
      </c>
      <c r="I480" s="4" t="n">
        <v>2.8</v>
      </c>
      <c r="J480" s="4" t="n">
        <v>5.5</v>
      </c>
      <c r="K480" s="3" t="s">
        <v>28</v>
      </c>
      <c r="L480" s="3" t="n">
        <v>235</v>
      </c>
      <c r="M480" s="4" t="n">
        <f aca="false">L480*J480</f>
        <v>1292.5</v>
      </c>
      <c r="N480" s="4" t="n">
        <f aca="false">L480*I480</f>
        <v>658</v>
      </c>
      <c r="O480" s="4" t="n">
        <f aca="false">M480-N480</f>
        <v>634.5</v>
      </c>
      <c r="P480" s="5" t="n">
        <f aca="false">IFERROR(O480/M480,0)</f>
        <v>0.490909090909091</v>
      </c>
    </row>
    <row r="481" customFormat="false" ht="15" hidden="false" customHeight="true" outlineLevel="0" collapsed="false">
      <c r="A481" s="6" t="s">
        <v>72</v>
      </c>
      <c r="B481" s="6" t="s">
        <v>73</v>
      </c>
      <c r="C481" s="6" t="s">
        <v>74</v>
      </c>
      <c r="D481" s="6" t="s">
        <v>60</v>
      </c>
      <c r="E481" s="6" t="s">
        <v>52</v>
      </c>
      <c r="F481" s="6" t="s">
        <v>47</v>
      </c>
      <c r="G481" s="6" t="s">
        <v>48</v>
      </c>
      <c r="H481" s="6" t="s">
        <v>42</v>
      </c>
      <c r="I481" s="7" t="n">
        <v>2.8</v>
      </c>
      <c r="J481" s="7" t="n">
        <v>5.5</v>
      </c>
      <c r="K481" s="6" t="s">
        <v>29</v>
      </c>
      <c r="L481" s="6" t="n">
        <v>294</v>
      </c>
      <c r="M481" s="7" t="n">
        <f aca="false">L481*J481</f>
        <v>1617</v>
      </c>
      <c r="N481" s="7" t="n">
        <f aca="false">L481*I481</f>
        <v>823.2</v>
      </c>
      <c r="O481" s="7" t="n">
        <f aca="false">M481-N481</f>
        <v>793.8</v>
      </c>
      <c r="P481" s="8" t="n">
        <f aca="false">IFERROR(O481/M481,0)</f>
        <v>0.490909090909091</v>
      </c>
    </row>
    <row r="482" customFormat="false" ht="15" hidden="false" customHeight="true" outlineLevel="0" collapsed="false">
      <c r="A482" s="3" t="s">
        <v>75</v>
      </c>
      <c r="B482" s="3" t="s">
        <v>76</v>
      </c>
      <c r="C482" s="3" t="s">
        <v>18</v>
      </c>
      <c r="D482" s="3" t="s">
        <v>77</v>
      </c>
      <c r="E482" s="3" t="s">
        <v>20</v>
      </c>
      <c r="F482" s="3" t="s">
        <v>21</v>
      </c>
      <c r="G482" s="3" t="s">
        <v>22</v>
      </c>
      <c r="H482" s="3" t="s">
        <v>23</v>
      </c>
      <c r="I482" s="4" t="n">
        <v>8.99</v>
      </c>
      <c r="J482" s="4" t="n">
        <v>22</v>
      </c>
      <c r="K482" s="3" t="s">
        <v>24</v>
      </c>
      <c r="L482" s="3" t="n">
        <v>112</v>
      </c>
      <c r="M482" s="4" t="n">
        <f aca="false">L482*J482</f>
        <v>2464</v>
      </c>
      <c r="N482" s="4" t="n">
        <f aca="false">L482*I482</f>
        <v>1006.88</v>
      </c>
      <c r="O482" s="4" t="n">
        <f aca="false">M482-N482</f>
        <v>1457.12</v>
      </c>
      <c r="P482" s="5" t="n">
        <f aca="false">IFERROR(O482/M482,0)</f>
        <v>0.591363636363636</v>
      </c>
    </row>
    <row r="483" customFormat="false" ht="15" hidden="false" customHeight="true" outlineLevel="0" collapsed="false">
      <c r="A483" s="6" t="s">
        <v>75</v>
      </c>
      <c r="B483" s="6" t="s">
        <v>76</v>
      </c>
      <c r="C483" s="6" t="s">
        <v>18</v>
      </c>
      <c r="D483" s="6" t="s">
        <v>77</v>
      </c>
      <c r="E483" s="6" t="s">
        <v>20</v>
      </c>
      <c r="F483" s="6" t="s">
        <v>21</v>
      </c>
      <c r="G483" s="6" t="s">
        <v>22</v>
      </c>
      <c r="H483" s="6" t="s">
        <v>23</v>
      </c>
      <c r="I483" s="7" t="n">
        <v>8.99</v>
      </c>
      <c r="J483" s="7" t="n">
        <v>22</v>
      </c>
      <c r="K483" s="6" t="s">
        <v>25</v>
      </c>
      <c r="L483" s="6" t="n">
        <v>39</v>
      </c>
      <c r="M483" s="7" t="n">
        <f aca="false">L483*J483</f>
        <v>858</v>
      </c>
      <c r="N483" s="7" t="n">
        <f aca="false">L483*I483</f>
        <v>350.61</v>
      </c>
      <c r="O483" s="7" t="n">
        <f aca="false">M483-N483</f>
        <v>507.39</v>
      </c>
      <c r="P483" s="8" t="n">
        <f aca="false">IFERROR(O483/M483,0)</f>
        <v>0.591363636363636</v>
      </c>
    </row>
    <row r="484" customFormat="false" ht="15" hidden="false" customHeight="true" outlineLevel="0" collapsed="false">
      <c r="A484" s="3" t="s">
        <v>75</v>
      </c>
      <c r="B484" s="3" t="s">
        <v>76</v>
      </c>
      <c r="C484" s="3" t="s">
        <v>18</v>
      </c>
      <c r="D484" s="3" t="s">
        <v>77</v>
      </c>
      <c r="E484" s="3" t="s">
        <v>20</v>
      </c>
      <c r="F484" s="3" t="s">
        <v>21</v>
      </c>
      <c r="G484" s="3" t="s">
        <v>22</v>
      </c>
      <c r="H484" s="3" t="s">
        <v>23</v>
      </c>
      <c r="I484" s="4" t="n">
        <v>8.99</v>
      </c>
      <c r="J484" s="4" t="n">
        <v>22</v>
      </c>
      <c r="K484" s="3" t="s">
        <v>26</v>
      </c>
      <c r="L484" s="3" t="n">
        <v>323</v>
      </c>
      <c r="M484" s="4" t="n">
        <f aca="false">L484*J484</f>
        <v>7106</v>
      </c>
      <c r="N484" s="4" t="n">
        <f aca="false">L484*I484</f>
        <v>2903.77</v>
      </c>
      <c r="O484" s="4" t="n">
        <f aca="false">M484-N484</f>
        <v>4202.23</v>
      </c>
      <c r="P484" s="5" t="n">
        <f aca="false">IFERROR(O484/M484,0)</f>
        <v>0.591363636363636</v>
      </c>
    </row>
    <row r="485" customFormat="false" ht="15" hidden="false" customHeight="true" outlineLevel="0" collapsed="false">
      <c r="A485" s="6" t="s">
        <v>75</v>
      </c>
      <c r="B485" s="6" t="s">
        <v>76</v>
      </c>
      <c r="C485" s="6" t="s">
        <v>18</v>
      </c>
      <c r="D485" s="6" t="s">
        <v>77</v>
      </c>
      <c r="E485" s="6" t="s">
        <v>20</v>
      </c>
      <c r="F485" s="6" t="s">
        <v>21</v>
      </c>
      <c r="G485" s="6" t="s">
        <v>22</v>
      </c>
      <c r="H485" s="6" t="s">
        <v>23</v>
      </c>
      <c r="I485" s="7" t="n">
        <v>8.99</v>
      </c>
      <c r="J485" s="7" t="n">
        <v>22</v>
      </c>
      <c r="K485" s="6" t="s">
        <v>27</v>
      </c>
      <c r="L485" s="6" t="n">
        <v>201</v>
      </c>
      <c r="M485" s="7" t="n">
        <f aca="false">L485*J485</f>
        <v>4422</v>
      </c>
      <c r="N485" s="7" t="n">
        <f aca="false">L485*I485</f>
        <v>1806.99</v>
      </c>
      <c r="O485" s="7" t="n">
        <f aca="false">M485-N485</f>
        <v>2615.01</v>
      </c>
      <c r="P485" s="8" t="n">
        <f aca="false">IFERROR(O485/M485,0)</f>
        <v>0.591363636363636</v>
      </c>
    </row>
    <row r="486" customFormat="false" ht="15" hidden="false" customHeight="true" outlineLevel="0" collapsed="false">
      <c r="A486" s="3" t="s">
        <v>75</v>
      </c>
      <c r="B486" s="3" t="s">
        <v>76</v>
      </c>
      <c r="C486" s="3" t="s">
        <v>18</v>
      </c>
      <c r="D486" s="3" t="s">
        <v>77</v>
      </c>
      <c r="E486" s="3" t="s">
        <v>20</v>
      </c>
      <c r="F486" s="3" t="s">
        <v>21</v>
      </c>
      <c r="G486" s="3" t="s">
        <v>22</v>
      </c>
      <c r="H486" s="3" t="s">
        <v>23</v>
      </c>
      <c r="I486" s="4" t="n">
        <v>8.99</v>
      </c>
      <c r="J486" s="4" t="n">
        <v>22</v>
      </c>
      <c r="K486" s="3" t="s">
        <v>28</v>
      </c>
      <c r="L486" s="3" t="n">
        <v>299</v>
      </c>
      <c r="M486" s="4" t="n">
        <f aca="false">L486*J486</f>
        <v>6578</v>
      </c>
      <c r="N486" s="4" t="n">
        <f aca="false">L486*I486</f>
        <v>2688.01</v>
      </c>
      <c r="O486" s="4" t="n">
        <f aca="false">M486-N486</f>
        <v>3889.99</v>
      </c>
      <c r="P486" s="5" t="n">
        <f aca="false">IFERROR(O486/M486,0)</f>
        <v>0.591363636363636</v>
      </c>
    </row>
    <row r="487" customFormat="false" ht="15" hidden="false" customHeight="true" outlineLevel="0" collapsed="false">
      <c r="A487" s="6" t="s">
        <v>75</v>
      </c>
      <c r="B487" s="6" t="s">
        <v>76</v>
      </c>
      <c r="C487" s="6" t="s">
        <v>18</v>
      </c>
      <c r="D487" s="6" t="s">
        <v>77</v>
      </c>
      <c r="E487" s="6" t="s">
        <v>20</v>
      </c>
      <c r="F487" s="6" t="s">
        <v>21</v>
      </c>
      <c r="G487" s="6" t="s">
        <v>22</v>
      </c>
      <c r="H487" s="6" t="s">
        <v>23</v>
      </c>
      <c r="I487" s="7" t="n">
        <v>8.99</v>
      </c>
      <c r="J487" s="7" t="n">
        <v>22</v>
      </c>
      <c r="K487" s="6" t="s">
        <v>29</v>
      </c>
      <c r="L487" s="6" t="n">
        <v>392</v>
      </c>
      <c r="M487" s="7" t="n">
        <f aca="false">L487*J487</f>
        <v>8624</v>
      </c>
      <c r="N487" s="7" t="n">
        <f aca="false">L487*I487</f>
        <v>3524.08</v>
      </c>
      <c r="O487" s="7" t="n">
        <f aca="false">M487-N487</f>
        <v>5099.92</v>
      </c>
      <c r="P487" s="8" t="n">
        <f aca="false">IFERROR(O487/M487,0)</f>
        <v>0.591363636363636</v>
      </c>
    </row>
    <row r="488" customFormat="false" ht="15" hidden="false" customHeight="true" outlineLevel="0" collapsed="false">
      <c r="A488" s="3" t="s">
        <v>75</v>
      </c>
      <c r="B488" s="3" t="s">
        <v>76</v>
      </c>
      <c r="C488" s="3" t="s">
        <v>18</v>
      </c>
      <c r="D488" s="3" t="s">
        <v>77</v>
      </c>
      <c r="E488" s="3" t="s">
        <v>20</v>
      </c>
      <c r="F488" s="3" t="s">
        <v>30</v>
      </c>
      <c r="G488" s="3" t="s">
        <v>31</v>
      </c>
      <c r="H488" s="3" t="s">
        <v>23</v>
      </c>
      <c r="I488" s="4" t="n">
        <v>8.5</v>
      </c>
      <c r="J488" s="4" t="n">
        <v>21</v>
      </c>
      <c r="K488" s="3" t="s">
        <v>24</v>
      </c>
      <c r="L488" s="3" t="n">
        <v>31</v>
      </c>
      <c r="M488" s="4" t="n">
        <f aca="false">L488*J488</f>
        <v>651</v>
      </c>
      <c r="N488" s="4" t="n">
        <f aca="false">L488*I488</f>
        <v>263.5</v>
      </c>
      <c r="O488" s="4" t="n">
        <f aca="false">M488-N488</f>
        <v>387.5</v>
      </c>
      <c r="P488" s="5" t="n">
        <f aca="false">IFERROR(O488/M488,0)</f>
        <v>0.595238095238095</v>
      </c>
    </row>
    <row r="489" customFormat="false" ht="15" hidden="false" customHeight="true" outlineLevel="0" collapsed="false">
      <c r="A489" s="6" t="s">
        <v>75</v>
      </c>
      <c r="B489" s="6" t="s">
        <v>76</v>
      </c>
      <c r="C489" s="6" t="s">
        <v>18</v>
      </c>
      <c r="D489" s="6" t="s">
        <v>77</v>
      </c>
      <c r="E489" s="6" t="s">
        <v>20</v>
      </c>
      <c r="F489" s="6" t="s">
        <v>30</v>
      </c>
      <c r="G489" s="6" t="s">
        <v>31</v>
      </c>
      <c r="H489" s="6" t="s">
        <v>23</v>
      </c>
      <c r="I489" s="7" t="n">
        <v>8.5</v>
      </c>
      <c r="J489" s="7" t="n">
        <v>21</v>
      </c>
      <c r="K489" s="6" t="s">
        <v>25</v>
      </c>
      <c r="L489" s="6" t="n">
        <v>237</v>
      </c>
      <c r="M489" s="7" t="n">
        <f aca="false">L489*J489</f>
        <v>4977</v>
      </c>
      <c r="N489" s="7" t="n">
        <f aca="false">L489*I489</f>
        <v>2014.5</v>
      </c>
      <c r="O489" s="7" t="n">
        <f aca="false">M489-N489</f>
        <v>2962.5</v>
      </c>
      <c r="P489" s="8" t="n">
        <f aca="false">IFERROR(O489/M489,0)</f>
        <v>0.595238095238095</v>
      </c>
    </row>
    <row r="490" customFormat="false" ht="15" hidden="false" customHeight="true" outlineLevel="0" collapsed="false">
      <c r="A490" s="3" t="s">
        <v>75</v>
      </c>
      <c r="B490" s="3" t="s">
        <v>76</v>
      </c>
      <c r="C490" s="3" t="s">
        <v>18</v>
      </c>
      <c r="D490" s="3" t="s">
        <v>77</v>
      </c>
      <c r="E490" s="3" t="s">
        <v>20</v>
      </c>
      <c r="F490" s="3" t="s">
        <v>30</v>
      </c>
      <c r="G490" s="3" t="s">
        <v>31</v>
      </c>
      <c r="H490" s="3" t="s">
        <v>23</v>
      </c>
      <c r="I490" s="4" t="n">
        <v>8.5</v>
      </c>
      <c r="J490" s="4" t="n">
        <v>21</v>
      </c>
      <c r="K490" s="3" t="s">
        <v>26</v>
      </c>
      <c r="L490" s="3" t="n">
        <v>111</v>
      </c>
      <c r="M490" s="4" t="n">
        <f aca="false">L490*J490</f>
        <v>2331</v>
      </c>
      <c r="N490" s="4" t="n">
        <f aca="false">L490*I490</f>
        <v>943.5</v>
      </c>
      <c r="O490" s="4" t="n">
        <f aca="false">M490-N490</f>
        <v>1387.5</v>
      </c>
      <c r="P490" s="5" t="n">
        <f aca="false">IFERROR(O490/M490,0)</f>
        <v>0.595238095238095</v>
      </c>
    </row>
    <row r="491" customFormat="false" ht="15" hidden="false" customHeight="true" outlineLevel="0" collapsed="false">
      <c r="A491" s="6" t="s">
        <v>75</v>
      </c>
      <c r="B491" s="6" t="s">
        <v>76</v>
      </c>
      <c r="C491" s="6" t="s">
        <v>18</v>
      </c>
      <c r="D491" s="6" t="s">
        <v>77</v>
      </c>
      <c r="E491" s="6" t="s">
        <v>20</v>
      </c>
      <c r="F491" s="6" t="s">
        <v>30</v>
      </c>
      <c r="G491" s="6" t="s">
        <v>31</v>
      </c>
      <c r="H491" s="6" t="s">
        <v>23</v>
      </c>
      <c r="I491" s="7" t="n">
        <v>8.5</v>
      </c>
      <c r="J491" s="7" t="n">
        <v>21</v>
      </c>
      <c r="K491" s="6" t="s">
        <v>27</v>
      </c>
      <c r="L491" s="6" t="n">
        <v>281</v>
      </c>
      <c r="M491" s="7" t="n">
        <f aca="false">L491*J491</f>
        <v>5901</v>
      </c>
      <c r="N491" s="7" t="n">
        <f aca="false">L491*I491</f>
        <v>2388.5</v>
      </c>
      <c r="O491" s="7" t="n">
        <f aca="false">M491-N491</f>
        <v>3512.5</v>
      </c>
      <c r="P491" s="8" t="n">
        <f aca="false">IFERROR(O491/M491,0)</f>
        <v>0.595238095238095</v>
      </c>
    </row>
    <row r="492" customFormat="false" ht="15" hidden="false" customHeight="true" outlineLevel="0" collapsed="false">
      <c r="A492" s="3" t="s">
        <v>75</v>
      </c>
      <c r="B492" s="3" t="s">
        <v>76</v>
      </c>
      <c r="C492" s="3" t="s">
        <v>18</v>
      </c>
      <c r="D492" s="3" t="s">
        <v>77</v>
      </c>
      <c r="E492" s="3" t="s">
        <v>20</v>
      </c>
      <c r="F492" s="3" t="s">
        <v>30</v>
      </c>
      <c r="G492" s="3" t="s">
        <v>31</v>
      </c>
      <c r="H492" s="3" t="s">
        <v>23</v>
      </c>
      <c r="I492" s="4" t="n">
        <v>8.5</v>
      </c>
      <c r="J492" s="4" t="n">
        <v>21</v>
      </c>
      <c r="K492" s="3" t="s">
        <v>28</v>
      </c>
      <c r="L492" s="3" t="n">
        <v>252</v>
      </c>
      <c r="M492" s="4" t="n">
        <f aca="false">L492*J492</f>
        <v>5292</v>
      </c>
      <c r="N492" s="4" t="n">
        <f aca="false">L492*I492</f>
        <v>2142</v>
      </c>
      <c r="O492" s="4" t="n">
        <f aca="false">M492-N492</f>
        <v>3150</v>
      </c>
      <c r="P492" s="5" t="n">
        <f aca="false">IFERROR(O492/M492,0)</f>
        <v>0.595238095238095</v>
      </c>
    </row>
    <row r="493" customFormat="false" ht="15" hidden="false" customHeight="true" outlineLevel="0" collapsed="false">
      <c r="A493" s="6" t="s">
        <v>75</v>
      </c>
      <c r="B493" s="6" t="s">
        <v>76</v>
      </c>
      <c r="C493" s="6" t="s">
        <v>18</v>
      </c>
      <c r="D493" s="6" t="s">
        <v>77</v>
      </c>
      <c r="E493" s="6" t="s">
        <v>20</v>
      </c>
      <c r="F493" s="6" t="s">
        <v>30</v>
      </c>
      <c r="G493" s="6" t="s">
        <v>31</v>
      </c>
      <c r="H493" s="6" t="s">
        <v>23</v>
      </c>
      <c r="I493" s="7" t="n">
        <v>8.5</v>
      </c>
      <c r="J493" s="7" t="n">
        <v>21</v>
      </c>
      <c r="K493" s="6" t="s">
        <v>29</v>
      </c>
      <c r="L493" s="6" t="n">
        <v>312</v>
      </c>
      <c r="M493" s="7" t="n">
        <f aca="false">L493*J493</f>
        <v>6552</v>
      </c>
      <c r="N493" s="7" t="n">
        <f aca="false">L493*I493</f>
        <v>2652</v>
      </c>
      <c r="O493" s="7" t="n">
        <f aca="false">M493-N493</f>
        <v>3900</v>
      </c>
      <c r="P493" s="8" t="n">
        <f aca="false">IFERROR(O493/M493,0)</f>
        <v>0.595238095238095</v>
      </c>
    </row>
    <row r="494" customFormat="false" ht="15" hidden="false" customHeight="true" outlineLevel="0" collapsed="false">
      <c r="A494" s="3" t="s">
        <v>75</v>
      </c>
      <c r="B494" s="3" t="s">
        <v>76</v>
      </c>
      <c r="C494" s="3" t="s">
        <v>18</v>
      </c>
      <c r="D494" s="3" t="s">
        <v>77</v>
      </c>
      <c r="E494" s="3" t="s">
        <v>20</v>
      </c>
      <c r="F494" s="3" t="s">
        <v>32</v>
      </c>
      <c r="G494" s="3" t="s">
        <v>33</v>
      </c>
      <c r="H494" s="3" t="s">
        <v>23</v>
      </c>
      <c r="I494" s="4" t="n">
        <v>2.5</v>
      </c>
      <c r="J494" s="4" t="n">
        <v>4.5</v>
      </c>
      <c r="K494" s="3" t="s">
        <v>24</v>
      </c>
      <c r="L494" s="3" t="n">
        <v>71</v>
      </c>
      <c r="M494" s="4" t="n">
        <f aca="false">L494*J494</f>
        <v>319.5</v>
      </c>
      <c r="N494" s="4" t="n">
        <f aca="false">L494*I494</f>
        <v>177.5</v>
      </c>
      <c r="O494" s="4" t="n">
        <f aca="false">M494-N494</f>
        <v>142</v>
      </c>
      <c r="P494" s="5" t="n">
        <f aca="false">IFERROR(O494/M494,0)</f>
        <v>0.444444444444444</v>
      </c>
    </row>
    <row r="495" customFormat="false" ht="15" hidden="false" customHeight="true" outlineLevel="0" collapsed="false">
      <c r="A495" s="6" t="s">
        <v>75</v>
      </c>
      <c r="B495" s="6" t="s">
        <v>76</v>
      </c>
      <c r="C495" s="6" t="s">
        <v>18</v>
      </c>
      <c r="D495" s="6" t="s">
        <v>77</v>
      </c>
      <c r="E495" s="6" t="s">
        <v>20</v>
      </c>
      <c r="F495" s="6" t="s">
        <v>32</v>
      </c>
      <c r="G495" s="6" t="s">
        <v>33</v>
      </c>
      <c r="H495" s="6" t="s">
        <v>23</v>
      </c>
      <c r="I495" s="7" t="n">
        <v>2.5</v>
      </c>
      <c r="J495" s="7" t="n">
        <v>4.5</v>
      </c>
      <c r="K495" s="6" t="s">
        <v>25</v>
      </c>
      <c r="L495" s="6" t="n">
        <v>212</v>
      </c>
      <c r="M495" s="7" t="n">
        <f aca="false">L495*J495</f>
        <v>954</v>
      </c>
      <c r="N495" s="7" t="n">
        <f aca="false">L495*I495</f>
        <v>530</v>
      </c>
      <c r="O495" s="7" t="n">
        <f aca="false">M495-N495</f>
        <v>424</v>
      </c>
      <c r="P495" s="8" t="n">
        <f aca="false">IFERROR(O495/M495,0)</f>
        <v>0.444444444444444</v>
      </c>
    </row>
    <row r="496" customFormat="false" ht="15" hidden="false" customHeight="true" outlineLevel="0" collapsed="false">
      <c r="A496" s="3" t="s">
        <v>75</v>
      </c>
      <c r="B496" s="3" t="s">
        <v>76</v>
      </c>
      <c r="C496" s="3" t="s">
        <v>18</v>
      </c>
      <c r="D496" s="3" t="s">
        <v>77</v>
      </c>
      <c r="E496" s="3" t="s">
        <v>20</v>
      </c>
      <c r="F496" s="3" t="s">
        <v>32</v>
      </c>
      <c r="G496" s="3" t="s">
        <v>33</v>
      </c>
      <c r="H496" s="3" t="s">
        <v>23</v>
      </c>
      <c r="I496" s="4" t="n">
        <v>2.5</v>
      </c>
      <c r="J496" s="4" t="n">
        <v>4.5</v>
      </c>
      <c r="K496" s="3" t="s">
        <v>26</v>
      </c>
      <c r="L496" s="3" t="n">
        <v>313</v>
      </c>
      <c r="M496" s="4" t="n">
        <f aca="false">L496*J496</f>
        <v>1408.5</v>
      </c>
      <c r="N496" s="4" t="n">
        <f aca="false">L496*I496</f>
        <v>782.5</v>
      </c>
      <c r="O496" s="4" t="n">
        <f aca="false">M496-N496</f>
        <v>626</v>
      </c>
      <c r="P496" s="5" t="n">
        <f aca="false">IFERROR(O496/M496,0)</f>
        <v>0.444444444444444</v>
      </c>
    </row>
    <row r="497" customFormat="false" ht="15" hidden="false" customHeight="true" outlineLevel="0" collapsed="false">
      <c r="A497" s="6" t="s">
        <v>75</v>
      </c>
      <c r="B497" s="6" t="s">
        <v>76</v>
      </c>
      <c r="C497" s="6" t="s">
        <v>18</v>
      </c>
      <c r="D497" s="6" t="s">
        <v>77</v>
      </c>
      <c r="E497" s="6" t="s">
        <v>20</v>
      </c>
      <c r="F497" s="6" t="s">
        <v>32</v>
      </c>
      <c r="G497" s="6" t="s">
        <v>33</v>
      </c>
      <c r="H497" s="6" t="s">
        <v>23</v>
      </c>
      <c r="I497" s="7" t="n">
        <v>2.5</v>
      </c>
      <c r="J497" s="7" t="n">
        <v>4.5</v>
      </c>
      <c r="K497" s="6" t="s">
        <v>27</v>
      </c>
      <c r="L497" s="6" t="n">
        <v>59</v>
      </c>
      <c r="M497" s="7" t="n">
        <f aca="false">L497*J497</f>
        <v>265.5</v>
      </c>
      <c r="N497" s="7" t="n">
        <f aca="false">L497*I497</f>
        <v>147.5</v>
      </c>
      <c r="O497" s="7" t="n">
        <f aca="false">M497-N497</f>
        <v>118</v>
      </c>
      <c r="P497" s="8" t="n">
        <f aca="false">IFERROR(O497/M497,0)</f>
        <v>0.444444444444444</v>
      </c>
    </row>
    <row r="498" customFormat="false" ht="15" hidden="false" customHeight="true" outlineLevel="0" collapsed="false">
      <c r="A498" s="3" t="s">
        <v>75</v>
      </c>
      <c r="B498" s="3" t="s">
        <v>76</v>
      </c>
      <c r="C498" s="3" t="s">
        <v>18</v>
      </c>
      <c r="D498" s="3" t="s">
        <v>77</v>
      </c>
      <c r="E498" s="3" t="s">
        <v>20</v>
      </c>
      <c r="F498" s="3" t="s">
        <v>32</v>
      </c>
      <c r="G498" s="3" t="s">
        <v>33</v>
      </c>
      <c r="H498" s="3" t="s">
        <v>23</v>
      </c>
      <c r="I498" s="4" t="n">
        <v>2.5</v>
      </c>
      <c r="J498" s="4" t="n">
        <v>4.5</v>
      </c>
      <c r="K498" s="3" t="s">
        <v>28</v>
      </c>
      <c r="L498" s="3" t="n">
        <v>75</v>
      </c>
      <c r="M498" s="4" t="n">
        <f aca="false">L498*J498</f>
        <v>337.5</v>
      </c>
      <c r="N498" s="4" t="n">
        <f aca="false">L498*I498</f>
        <v>187.5</v>
      </c>
      <c r="O498" s="4" t="n">
        <f aca="false">M498-N498</f>
        <v>150</v>
      </c>
      <c r="P498" s="5" t="n">
        <f aca="false">IFERROR(O498/M498,0)</f>
        <v>0.444444444444444</v>
      </c>
    </row>
    <row r="499" customFormat="false" ht="15" hidden="false" customHeight="true" outlineLevel="0" collapsed="false">
      <c r="A499" s="6" t="s">
        <v>75</v>
      </c>
      <c r="B499" s="6" t="s">
        <v>76</v>
      </c>
      <c r="C499" s="6" t="s">
        <v>18</v>
      </c>
      <c r="D499" s="6" t="s">
        <v>77</v>
      </c>
      <c r="E499" s="6" t="s">
        <v>20</v>
      </c>
      <c r="F499" s="6" t="s">
        <v>32</v>
      </c>
      <c r="G499" s="6" t="s">
        <v>33</v>
      </c>
      <c r="H499" s="6" t="s">
        <v>23</v>
      </c>
      <c r="I499" s="7" t="n">
        <v>2.5</v>
      </c>
      <c r="J499" s="7" t="n">
        <v>4.5</v>
      </c>
      <c r="K499" s="6" t="s">
        <v>29</v>
      </c>
      <c r="L499" s="6" t="n">
        <v>227</v>
      </c>
      <c r="M499" s="7" t="n">
        <f aca="false">L499*J499</f>
        <v>1021.5</v>
      </c>
      <c r="N499" s="7" t="n">
        <f aca="false">L499*I499</f>
        <v>567.5</v>
      </c>
      <c r="O499" s="7" t="n">
        <f aca="false">M499-N499</f>
        <v>454</v>
      </c>
      <c r="P499" s="8" t="n">
        <f aca="false">IFERROR(O499/M499,0)</f>
        <v>0.444444444444444</v>
      </c>
    </row>
    <row r="500" customFormat="false" ht="15" hidden="false" customHeight="true" outlineLevel="0" collapsed="false">
      <c r="A500" s="3" t="s">
        <v>75</v>
      </c>
      <c r="B500" s="3" t="s">
        <v>76</v>
      </c>
      <c r="C500" s="3" t="s">
        <v>18</v>
      </c>
      <c r="D500" s="3" t="s">
        <v>77</v>
      </c>
      <c r="E500" s="3" t="s">
        <v>20</v>
      </c>
      <c r="F500" s="3" t="s">
        <v>34</v>
      </c>
      <c r="G500" s="3" t="s">
        <v>35</v>
      </c>
      <c r="H500" s="3" t="s">
        <v>23</v>
      </c>
      <c r="I500" s="4" t="n">
        <v>6</v>
      </c>
      <c r="J500" s="4" t="n">
        <v>12.5</v>
      </c>
      <c r="K500" s="3" t="s">
        <v>24</v>
      </c>
      <c r="L500" s="3" t="n">
        <v>79</v>
      </c>
      <c r="M500" s="4" t="n">
        <f aca="false">L500*J500</f>
        <v>987.5</v>
      </c>
      <c r="N500" s="4" t="n">
        <f aca="false">L500*I500</f>
        <v>474</v>
      </c>
      <c r="O500" s="4" t="n">
        <f aca="false">M500-N500</f>
        <v>513.5</v>
      </c>
      <c r="P500" s="5" t="n">
        <f aca="false">IFERROR(O500/M500,0)</f>
        <v>0.52</v>
      </c>
    </row>
    <row r="501" customFormat="false" ht="15" hidden="false" customHeight="true" outlineLevel="0" collapsed="false">
      <c r="A501" s="6" t="s">
        <v>75</v>
      </c>
      <c r="B501" s="6" t="s">
        <v>76</v>
      </c>
      <c r="C501" s="6" t="s">
        <v>18</v>
      </c>
      <c r="D501" s="6" t="s">
        <v>77</v>
      </c>
      <c r="E501" s="6" t="s">
        <v>20</v>
      </c>
      <c r="F501" s="6" t="s">
        <v>34</v>
      </c>
      <c r="G501" s="6" t="s">
        <v>35</v>
      </c>
      <c r="H501" s="6" t="s">
        <v>23</v>
      </c>
      <c r="I501" s="7" t="n">
        <v>6</v>
      </c>
      <c r="J501" s="7" t="n">
        <v>12.5</v>
      </c>
      <c r="K501" s="6" t="s">
        <v>25</v>
      </c>
      <c r="L501" s="6" t="n">
        <v>86</v>
      </c>
      <c r="M501" s="7" t="n">
        <f aca="false">L501*J501</f>
        <v>1075</v>
      </c>
      <c r="N501" s="7" t="n">
        <f aca="false">L501*I501</f>
        <v>516</v>
      </c>
      <c r="O501" s="7" t="n">
        <f aca="false">M501-N501</f>
        <v>559</v>
      </c>
      <c r="P501" s="8" t="n">
        <f aca="false">IFERROR(O501/M501,0)</f>
        <v>0.52</v>
      </c>
    </row>
    <row r="502" customFormat="false" ht="15" hidden="false" customHeight="true" outlineLevel="0" collapsed="false">
      <c r="A502" s="3" t="s">
        <v>75</v>
      </c>
      <c r="B502" s="3" t="s">
        <v>76</v>
      </c>
      <c r="C502" s="3" t="s">
        <v>18</v>
      </c>
      <c r="D502" s="3" t="s">
        <v>77</v>
      </c>
      <c r="E502" s="3" t="s">
        <v>20</v>
      </c>
      <c r="F502" s="3" t="s">
        <v>34</v>
      </c>
      <c r="G502" s="3" t="s">
        <v>35</v>
      </c>
      <c r="H502" s="3" t="s">
        <v>23</v>
      </c>
      <c r="I502" s="4" t="n">
        <v>6</v>
      </c>
      <c r="J502" s="4" t="n">
        <v>12.5</v>
      </c>
      <c r="K502" s="3" t="s">
        <v>26</v>
      </c>
      <c r="L502" s="3" t="n">
        <v>93</v>
      </c>
      <c r="M502" s="4" t="n">
        <f aca="false">L502*J502</f>
        <v>1162.5</v>
      </c>
      <c r="N502" s="4" t="n">
        <f aca="false">L502*I502</f>
        <v>558</v>
      </c>
      <c r="O502" s="4" t="n">
        <f aca="false">M502-N502</f>
        <v>604.5</v>
      </c>
      <c r="P502" s="5" t="n">
        <f aca="false">IFERROR(O502/M502,0)</f>
        <v>0.52</v>
      </c>
    </row>
    <row r="503" customFormat="false" ht="15" hidden="false" customHeight="true" outlineLevel="0" collapsed="false">
      <c r="A503" s="6" t="s">
        <v>75</v>
      </c>
      <c r="B503" s="6" t="s">
        <v>76</v>
      </c>
      <c r="C503" s="6" t="s">
        <v>18</v>
      </c>
      <c r="D503" s="6" t="s">
        <v>77</v>
      </c>
      <c r="E503" s="6" t="s">
        <v>20</v>
      </c>
      <c r="F503" s="6" t="s">
        <v>34</v>
      </c>
      <c r="G503" s="6" t="s">
        <v>35</v>
      </c>
      <c r="H503" s="6" t="s">
        <v>23</v>
      </c>
      <c r="I503" s="7" t="n">
        <v>6</v>
      </c>
      <c r="J503" s="7" t="n">
        <v>12.5</v>
      </c>
      <c r="K503" s="6" t="s">
        <v>27</v>
      </c>
      <c r="L503" s="6" t="n">
        <v>119</v>
      </c>
      <c r="M503" s="7" t="n">
        <f aca="false">L503*J503</f>
        <v>1487.5</v>
      </c>
      <c r="N503" s="7" t="n">
        <f aca="false">L503*I503</f>
        <v>714</v>
      </c>
      <c r="O503" s="7" t="n">
        <f aca="false">M503-N503</f>
        <v>773.5</v>
      </c>
      <c r="P503" s="8" t="n">
        <f aca="false">IFERROR(O503/M503,0)</f>
        <v>0.52</v>
      </c>
    </row>
    <row r="504" customFormat="false" ht="15" hidden="false" customHeight="true" outlineLevel="0" collapsed="false">
      <c r="A504" s="3" t="s">
        <v>75</v>
      </c>
      <c r="B504" s="3" t="s">
        <v>76</v>
      </c>
      <c r="C504" s="3" t="s">
        <v>18</v>
      </c>
      <c r="D504" s="3" t="s">
        <v>77</v>
      </c>
      <c r="E504" s="3" t="s">
        <v>20</v>
      </c>
      <c r="F504" s="3" t="s">
        <v>34</v>
      </c>
      <c r="G504" s="3" t="s">
        <v>35</v>
      </c>
      <c r="H504" s="3" t="s">
        <v>23</v>
      </c>
      <c r="I504" s="4" t="n">
        <v>6</v>
      </c>
      <c r="J504" s="4" t="n">
        <v>12.5</v>
      </c>
      <c r="K504" s="3" t="s">
        <v>28</v>
      </c>
      <c r="L504" s="3" t="n">
        <v>43</v>
      </c>
      <c r="M504" s="4" t="n">
        <f aca="false">L504*J504</f>
        <v>537.5</v>
      </c>
      <c r="N504" s="4" t="n">
        <f aca="false">L504*I504</f>
        <v>258</v>
      </c>
      <c r="O504" s="4" t="n">
        <f aca="false">M504-N504</f>
        <v>279.5</v>
      </c>
      <c r="P504" s="5" t="n">
        <f aca="false">IFERROR(O504/M504,0)</f>
        <v>0.52</v>
      </c>
    </row>
    <row r="505" customFormat="false" ht="15" hidden="false" customHeight="true" outlineLevel="0" collapsed="false">
      <c r="A505" s="6" t="s">
        <v>75</v>
      </c>
      <c r="B505" s="6" t="s">
        <v>76</v>
      </c>
      <c r="C505" s="6" t="s">
        <v>18</v>
      </c>
      <c r="D505" s="6" t="s">
        <v>77</v>
      </c>
      <c r="E505" s="6" t="s">
        <v>20</v>
      </c>
      <c r="F505" s="6" t="s">
        <v>34</v>
      </c>
      <c r="G505" s="6" t="s">
        <v>35</v>
      </c>
      <c r="H505" s="6" t="s">
        <v>23</v>
      </c>
      <c r="I505" s="7" t="n">
        <v>6</v>
      </c>
      <c r="J505" s="7" t="n">
        <v>12.5</v>
      </c>
      <c r="K505" s="6" t="s">
        <v>29</v>
      </c>
      <c r="L505" s="6" t="n">
        <v>245</v>
      </c>
      <c r="M505" s="7" t="n">
        <f aca="false">L505*J505</f>
        <v>3062.5</v>
      </c>
      <c r="N505" s="7" t="n">
        <f aca="false">L505*I505</f>
        <v>1470</v>
      </c>
      <c r="O505" s="7" t="n">
        <f aca="false">M505-N505</f>
        <v>1592.5</v>
      </c>
      <c r="P505" s="8" t="n">
        <f aca="false">IFERROR(O505/M505,0)</f>
        <v>0.52</v>
      </c>
    </row>
    <row r="506" customFormat="false" ht="15" hidden="false" customHeight="true" outlineLevel="0" collapsed="false">
      <c r="A506" s="3" t="s">
        <v>75</v>
      </c>
      <c r="B506" s="3" t="s">
        <v>76</v>
      </c>
      <c r="C506" s="3" t="s">
        <v>18</v>
      </c>
      <c r="D506" s="3" t="s">
        <v>77</v>
      </c>
      <c r="E506" s="3" t="s">
        <v>20</v>
      </c>
      <c r="F506" s="3" t="s">
        <v>36</v>
      </c>
      <c r="G506" s="3" t="s">
        <v>37</v>
      </c>
      <c r="H506" s="3" t="s">
        <v>23</v>
      </c>
      <c r="I506" s="4" t="n">
        <v>4.5</v>
      </c>
      <c r="J506" s="4" t="n">
        <v>7</v>
      </c>
      <c r="K506" s="3" t="s">
        <v>24</v>
      </c>
      <c r="L506" s="3" t="n">
        <v>181</v>
      </c>
      <c r="M506" s="4" t="n">
        <f aca="false">L506*J506</f>
        <v>1267</v>
      </c>
      <c r="N506" s="4" t="n">
        <f aca="false">L506*I506</f>
        <v>814.5</v>
      </c>
      <c r="O506" s="4" t="n">
        <f aca="false">M506-N506</f>
        <v>452.5</v>
      </c>
      <c r="P506" s="5" t="n">
        <f aca="false">IFERROR(O506/M506,0)</f>
        <v>0.357142857142857</v>
      </c>
    </row>
    <row r="507" customFormat="false" ht="15" hidden="false" customHeight="true" outlineLevel="0" collapsed="false">
      <c r="A507" s="6" t="s">
        <v>75</v>
      </c>
      <c r="B507" s="6" t="s">
        <v>76</v>
      </c>
      <c r="C507" s="6" t="s">
        <v>18</v>
      </c>
      <c r="D507" s="6" t="s">
        <v>77</v>
      </c>
      <c r="E507" s="6" t="s">
        <v>20</v>
      </c>
      <c r="F507" s="6" t="s">
        <v>36</v>
      </c>
      <c r="G507" s="6" t="s">
        <v>37</v>
      </c>
      <c r="H507" s="6" t="s">
        <v>23</v>
      </c>
      <c r="I507" s="7" t="n">
        <v>4.5</v>
      </c>
      <c r="J507" s="7" t="n">
        <v>7</v>
      </c>
      <c r="K507" s="6" t="s">
        <v>25</v>
      </c>
      <c r="L507" s="6" t="n">
        <v>212</v>
      </c>
      <c r="M507" s="7" t="n">
        <f aca="false">L507*J507</f>
        <v>1484</v>
      </c>
      <c r="N507" s="7" t="n">
        <f aca="false">L507*I507</f>
        <v>954</v>
      </c>
      <c r="O507" s="7" t="n">
        <f aca="false">M507-N507</f>
        <v>530</v>
      </c>
      <c r="P507" s="8" t="n">
        <f aca="false">IFERROR(O507/M507,0)</f>
        <v>0.357142857142857</v>
      </c>
    </row>
    <row r="508" customFormat="false" ht="15" hidden="false" customHeight="true" outlineLevel="0" collapsed="false">
      <c r="A508" s="3" t="s">
        <v>75</v>
      </c>
      <c r="B508" s="3" t="s">
        <v>76</v>
      </c>
      <c r="C508" s="3" t="s">
        <v>18</v>
      </c>
      <c r="D508" s="3" t="s">
        <v>77</v>
      </c>
      <c r="E508" s="3" t="s">
        <v>20</v>
      </c>
      <c r="F508" s="3" t="s">
        <v>36</v>
      </c>
      <c r="G508" s="3" t="s">
        <v>37</v>
      </c>
      <c r="H508" s="3" t="s">
        <v>23</v>
      </c>
      <c r="I508" s="4" t="n">
        <v>4.5</v>
      </c>
      <c r="J508" s="4" t="n">
        <v>7</v>
      </c>
      <c r="K508" s="3" t="s">
        <v>26</v>
      </c>
      <c r="L508" s="3" t="n">
        <v>111</v>
      </c>
      <c r="M508" s="4" t="n">
        <f aca="false">L508*J508</f>
        <v>777</v>
      </c>
      <c r="N508" s="4" t="n">
        <f aca="false">L508*I508</f>
        <v>499.5</v>
      </c>
      <c r="O508" s="4" t="n">
        <f aca="false">M508-N508</f>
        <v>277.5</v>
      </c>
      <c r="P508" s="5" t="n">
        <f aca="false">IFERROR(O508/M508,0)</f>
        <v>0.357142857142857</v>
      </c>
    </row>
    <row r="509" customFormat="false" ht="15" hidden="false" customHeight="true" outlineLevel="0" collapsed="false">
      <c r="A509" s="6" t="s">
        <v>75</v>
      </c>
      <c r="B509" s="6" t="s">
        <v>76</v>
      </c>
      <c r="C509" s="6" t="s">
        <v>18</v>
      </c>
      <c r="D509" s="6" t="s">
        <v>77</v>
      </c>
      <c r="E509" s="6" t="s">
        <v>20</v>
      </c>
      <c r="F509" s="6" t="s">
        <v>36</v>
      </c>
      <c r="G509" s="6" t="s">
        <v>37</v>
      </c>
      <c r="H509" s="6" t="s">
        <v>23</v>
      </c>
      <c r="I509" s="7" t="n">
        <v>4.5</v>
      </c>
      <c r="J509" s="7" t="n">
        <v>7</v>
      </c>
      <c r="K509" s="6" t="s">
        <v>27</v>
      </c>
      <c r="L509" s="6" t="n">
        <v>260</v>
      </c>
      <c r="M509" s="7" t="n">
        <f aca="false">L509*J509</f>
        <v>1820</v>
      </c>
      <c r="N509" s="7" t="n">
        <f aca="false">L509*I509</f>
        <v>1170</v>
      </c>
      <c r="O509" s="7" t="n">
        <f aca="false">M509-N509</f>
        <v>650</v>
      </c>
      <c r="P509" s="8" t="n">
        <f aca="false">IFERROR(O509/M509,0)</f>
        <v>0.357142857142857</v>
      </c>
    </row>
    <row r="510" customFormat="false" ht="15" hidden="false" customHeight="true" outlineLevel="0" collapsed="false">
      <c r="A510" s="3" t="s">
        <v>75</v>
      </c>
      <c r="B510" s="3" t="s">
        <v>76</v>
      </c>
      <c r="C510" s="3" t="s">
        <v>18</v>
      </c>
      <c r="D510" s="3" t="s">
        <v>77</v>
      </c>
      <c r="E510" s="3" t="s">
        <v>20</v>
      </c>
      <c r="F510" s="3" t="s">
        <v>36</v>
      </c>
      <c r="G510" s="3" t="s">
        <v>37</v>
      </c>
      <c r="H510" s="3" t="s">
        <v>23</v>
      </c>
      <c r="I510" s="4" t="n">
        <v>4.5</v>
      </c>
      <c r="J510" s="4" t="n">
        <v>7</v>
      </c>
      <c r="K510" s="3" t="s">
        <v>28</v>
      </c>
      <c r="L510" s="3" t="n">
        <v>141</v>
      </c>
      <c r="M510" s="4" t="n">
        <f aca="false">L510*J510</f>
        <v>987</v>
      </c>
      <c r="N510" s="4" t="n">
        <f aca="false">L510*I510</f>
        <v>634.5</v>
      </c>
      <c r="O510" s="4" t="n">
        <f aca="false">M510-N510</f>
        <v>352.5</v>
      </c>
      <c r="P510" s="5" t="n">
        <f aca="false">IFERROR(O510/M510,0)</f>
        <v>0.357142857142857</v>
      </c>
    </row>
    <row r="511" customFormat="false" ht="15" hidden="false" customHeight="true" outlineLevel="0" collapsed="false">
      <c r="A511" s="6" t="s">
        <v>75</v>
      </c>
      <c r="B511" s="6" t="s">
        <v>76</v>
      </c>
      <c r="C511" s="6" t="s">
        <v>18</v>
      </c>
      <c r="D511" s="6" t="s">
        <v>77</v>
      </c>
      <c r="E511" s="6" t="s">
        <v>20</v>
      </c>
      <c r="F511" s="6" t="s">
        <v>36</v>
      </c>
      <c r="G511" s="6" t="s">
        <v>37</v>
      </c>
      <c r="H511" s="6" t="s">
        <v>23</v>
      </c>
      <c r="I511" s="7" t="n">
        <v>4.5</v>
      </c>
      <c r="J511" s="7" t="n">
        <v>7</v>
      </c>
      <c r="K511" s="6" t="s">
        <v>29</v>
      </c>
      <c r="L511" s="6" t="n">
        <v>146</v>
      </c>
      <c r="M511" s="7" t="n">
        <f aca="false">L511*J511</f>
        <v>1022</v>
      </c>
      <c r="N511" s="7" t="n">
        <f aca="false">L511*I511</f>
        <v>657</v>
      </c>
      <c r="O511" s="7" t="n">
        <f aca="false">M511-N511</f>
        <v>365</v>
      </c>
      <c r="P511" s="8" t="n">
        <f aca="false">IFERROR(O511/M511,0)</f>
        <v>0.357142857142857</v>
      </c>
    </row>
    <row r="512" customFormat="false" ht="15" hidden="false" customHeight="true" outlineLevel="0" collapsed="false">
      <c r="A512" s="3" t="s">
        <v>75</v>
      </c>
      <c r="B512" s="3" t="s">
        <v>76</v>
      </c>
      <c r="C512" s="3" t="s">
        <v>18</v>
      </c>
      <c r="D512" s="3" t="s">
        <v>77</v>
      </c>
      <c r="E512" s="3" t="s">
        <v>20</v>
      </c>
      <c r="F512" s="3" t="s">
        <v>38</v>
      </c>
      <c r="G512" s="3" t="s">
        <v>39</v>
      </c>
      <c r="H512" s="3" t="s">
        <v>23</v>
      </c>
      <c r="I512" s="4" t="n">
        <v>9.9</v>
      </c>
      <c r="J512" s="4" t="n">
        <v>18</v>
      </c>
      <c r="K512" s="3" t="s">
        <v>24</v>
      </c>
      <c r="L512" s="3" t="n">
        <v>234</v>
      </c>
      <c r="M512" s="4" t="n">
        <f aca="false">L512*J512</f>
        <v>4212</v>
      </c>
      <c r="N512" s="4" t="n">
        <f aca="false">L512*I512</f>
        <v>2316.6</v>
      </c>
      <c r="O512" s="4" t="n">
        <f aca="false">M512-N512</f>
        <v>1895.4</v>
      </c>
      <c r="P512" s="5" t="n">
        <f aca="false">IFERROR(O512/M512,0)</f>
        <v>0.45</v>
      </c>
    </row>
    <row r="513" customFormat="false" ht="15" hidden="false" customHeight="true" outlineLevel="0" collapsed="false">
      <c r="A513" s="6" t="s">
        <v>75</v>
      </c>
      <c r="B513" s="6" t="s">
        <v>76</v>
      </c>
      <c r="C513" s="6" t="s">
        <v>18</v>
      </c>
      <c r="D513" s="6" t="s">
        <v>77</v>
      </c>
      <c r="E513" s="6" t="s">
        <v>20</v>
      </c>
      <c r="F513" s="6" t="s">
        <v>38</v>
      </c>
      <c r="G513" s="6" t="s">
        <v>39</v>
      </c>
      <c r="H513" s="6" t="s">
        <v>23</v>
      </c>
      <c r="I513" s="7" t="n">
        <v>9.9</v>
      </c>
      <c r="J513" s="7" t="n">
        <v>18</v>
      </c>
      <c r="K513" s="6" t="s">
        <v>25</v>
      </c>
      <c r="L513" s="6" t="n">
        <v>150</v>
      </c>
      <c r="M513" s="7" t="n">
        <f aca="false">L513*J513</f>
        <v>2700</v>
      </c>
      <c r="N513" s="7" t="n">
        <f aca="false">L513*I513</f>
        <v>1485</v>
      </c>
      <c r="O513" s="7" t="n">
        <f aca="false">M513-N513</f>
        <v>1215</v>
      </c>
      <c r="P513" s="8" t="n">
        <f aca="false">IFERROR(O513/M513,0)</f>
        <v>0.45</v>
      </c>
    </row>
    <row r="514" customFormat="false" ht="15" hidden="false" customHeight="true" outlineLevel="0" collapsed="false">
      <c r="A514" s="3" t="s">
        <v>75</v>
      </c>
      <c r="B514" s="3" t="s">
        <v>76</v>
      </c>
      <c r="C514" s="3" t="s">
        <v>18</v>
      </c>
      <c r="D514" s="3" t="s">
        <v>77</v>
      </c>
      <c r="E514" s="3" t="s">
        <v>20</v>
      </c>
      <c r="F514" s="3" t="s">
        <v>38</v>
      </c>
      <c r="G514" s="3" t="s">
        <v>39</v>
      </c>
      <c r="H514" s="3" t="s">
        <v>23</v>
      </c>
      <c r="I514" s="4" t="n">
        <v>9.9</v>
      </c>
      <c r="J514" s="4" t="n">
        <v>18</v>
      </c>
      <c r="K514" s="3" t="s">
        <v>26</v>
      </c>
      <c r="L514" s="3" t="n">
        <v>110</v>
      </c>
      <c r="M514" s="4" t="n">
        <f aca="false">L514*J514</f>
        <v>1980</v>
      </c>
      <c r="N514" s="4" t="n">
        <f aca="false">L514*I514</f>
        <v>1089</v>
      </c>
      <c r="O514" s="4" t="n">
        <f aca="false">M514-N514</f>
        <v>891</v>
      </c>
      <c r="P514" s="5" t="n">
        <f aca="false">IFERROR(O514/M514,0)</f>
        <v>0.45</v>
      </c>
    </row>
    <row r="515" customFormat="false" ht="15" hidden="false" customHeight="true" outlineLevel="0" collapsed="false">
      <c r="A515" s="6" t="s">
        <v>75</v>
      </c>
      <c r="B515" s="6" t="s">
        <v>76</v>
      </c>
      <c r="C515" s="6" t="s">
        <v>18</v>
      </c>
      <c r="D515" s="6" t="s">
        <v>77</v>
      </c>
      <c r="E515" s="6" t="s">
        <v>20</v>
      </c>
      <c r="F515" s="6" t="s">
        <v>38</v>
      </c>
      <c r="G515" s="6" t="s">
        <v>39</v>
      </c>
      <c r="H515" s="6" t="s">
        <v>23</v>
      </c>
      <c r="I515" s="7" t="n">
        <v>9.9</v>
      </c>
      <c r="J515" s="7" t="n">
        <v>18</v>
      </c>
      <c r="K515" s="6" t="s">
        <v>27</v>
      </c>
      <c r="L515" s="6" t="n">
        <v>289</v>
      </c>
      <c r="M515" s="7" t="n">
        <f aca="false">L515*J515</f>
        <v>5202</v>
      </c>
      <c r="N515" s="7" t="n">
        <f aca="false">L515*I515</f>
        <v>2861.1</v>
      </c>
      <c r="O515" s="7" t="n">
        <f aca="false">M515-N515</f>
        <v>2340.9</v>
      </c>
      <c r="P515" s="8" t="n">
        <f aca="false">IFERROR(O515/M515,0)</f>
        <v>0.45</v>
      </c>
    </row>
    <row r="516" customFormat="false" ht="15" hidden="false" customHeight="true" outlineLevel="0" collapsed="false">
      <c r="A516" s="3" t="s">
        <v>75</v>
      </c>
      <c r="B516" s="3" t="s">
        <v>76</v>
      </c>
      <c r="C516" s="3" t="s">
        <v>18</v>
      </c>
      <c r="D516" s="3" t="s">
        <v>77</v>
      </c>
      <c r="E516" s="3" t="s">
        <v>20</v>
      </c>
      <c r="F516" s="3" t="s">
        <v>38</v>
      </c>
      <c r="G516" s="3" t="s">
        <v>39</v>
      </c>
      <c r="H516" s="3" t="s">
        <v>23</v>
      </c>
      <c r="I516" s="4" t="n">
        <v>9.9</v>
      </c>
      <c r="J516" s="4" t="n">
        <v>18</v>
      </c>
      <c r="K516" s="3" t="s">
        <v>28</v>
      </c>
      <c r="L516" s="3" t="n">
        <v>196</v>
      </c>
      <c r="M516" s="4" t="n">
        <f aca="false">L516*J516</f>
        <v>3528</v>
      </c>
      <c r="N516" s="4" t="n">
        <f aca="false">L516*I516</f>
        <v>1940.4</v>
      </c>
      <c r="O516" s="4" t="n">
        <f aca="false">M516-N516</f>
        <v>1587.6</v>
      </c>
      <c r="P516" s="5" t="n">
        <f aca="false">IFERROR(O516/M516,0)</f>
        <v>0.45</v>
      </c>
    </row>
    <row r="517" customFormat="false" ht="15" hidden="false" customHeight="true" outlineLevel="0" collapsed="false">
      <c r="A517" s="6" t="s">
        <v>75</v>
      </c>
      <c r="B517" s="6" t="s">
        <v>76</v>
      </c>
      <c r="C517" s="6" t="s">
        <v>18</v>
      </c>
      <c r="D517" s="6" t="s">
        <v>77</v>
      </c>
      <c r="E517" s="6" t="s">
        <v>20</v>
      </c>
      <c r="F517" s="6" t="s">
        <v>38</v>
      </c>
      <c r="G517" s="6" t="s">
        <v>39</v>
      </c>
      <c r="H517" s="6" t="s">
        <v>23</v>
      </c>
      <c r="I517" s="7" t="n">
        <v>9.9</v>
      </c>
      <c r="J517" s="7" t="n">
        <v>18</v>
      </c>
      <c r="K517" s="6" t="s">
        <v>29</v>
      </c>
      <c r="L517" s="6" t="n">
        <v>198</v>
      </c>
      <c r="M517" s="7" t="n">
        <f aca="false">L517*J517</f>
        <v>3564</v>
      </c>
      <c r="N517" s="7" t="n">
        <f aca="false">L517*I517</f>
        <v>1960.2</v>
      </c>
      <c r="O517" s="7" t="n">
        <f aca="false">M517-N517</f>
        <v>1603.8</v>
      </c>
      <c r="P517" s="8" t="n">
        <f aca="false">IFERROR(O517/M517,0)</f>
        <v>0.45</v>
      </c>
    </row>
    <row r="518" customFormat="false" ht="15" hidden="false" customHeight="true" outlineLevel="0" collapsed="false">
      <c r="A518" s="3" t="s">
        <v>75</v>
      </c>
      <c r="B518" s="3" t="s">
        <v>76</v>
      </c>
      <c r="C518" s="3" t="s">
        <v>18</v>
      </c>
      <c r="D518" s="3" t="s">
        <v>77</v>
      </c>
      <c r="E518" s="3" t="s">
        <v>20</v>
      </c>
      <c r="F518" s="3" t="s">
        <v>40</v>
      </c>
      <c r="G518" s="3" t="s">
        <v>41</v>
      </c>
      <c r="H518" s="3" t="s">
        <v>42</v>
      </c>
      <c r="I518" s="4" t="n">
        <v>3.5</v>
      </c>
      <c r="J518" s="4" t="n">
        <v>6.5</v>
      </c>
      <c r="K518" s="3" t="s">
        <v>24</v>
      </c>
      <c r="L518" s="3" t="n">
        <v>267</v>
      </c>
      <c r="M518" s="4" t="n">
        <f aca="false">L518*J518</f>
        <v>1735.5</v>
      </c>
      <c r="N518" s="4" t="n">
        <f aca="false">L518*I518</f>
        <v>934.5</v>
      </c>
      <c r="O518" s="4" t="n">
        <f aca="false">M518-N518</f>
        <v>801</v>
      </c>
      <c r="P518" s="5" t="n">
        <f aca="false">IFERROR(O518/M518,0)</f>
        <v>0.461538461538462</v>
      </c>
    </row>
    <row r="519" customFormat="false" ht="15" hidden="false" customHeight="true" outlineLevel="0" collapsed="false">
      <c r="A519" s="6" t="s">
        <v>75</v>
      </c>
      <c r="B519" s="6" t="s">
        <v>76</v>
      </c>
      <c r="C519" s="6" t="s">
        <v>18</v>
      </c>
      <c r="D519" s="6" t="s">
        <v>77</v>
      </c>
      <c r="E519" s="6" t="s">
        <v>20</v>
      </c>
      <c r="F519" s="6" t="s">
        <v>40</v>
      </c>
      <c r="G519" s="6" t="s">
        <v>41</v>
      </c>
      <c r="H519" s="6" t="s">
        <v>42</v>
      </c>
      <c r="I519" s="7" t="n">
        <v>3.5</v>
      </c>
      <c r="J519" s="7" t="n">
        <v>6.5</v>
      </c>
      <c r="K519" s="6" t="s">
        <v>25</v>
      </c>
      <c r="L519" s="6" t="n">
        <v>96</v>
      </c>
      <c r="M519" s="7" t="n">
        <f aca="false">L519*J519</f>
        <v>624</v>
      </c>
      <c r="N519" s="7" t="n">
        <f aca="false">L519*I519</f>
        <v>336</v>
      </c>
      <c r="O519" s="7" t="n">
        <f aca="false">M519-N519</f>
        <v>288</v>
      </c>
      <c r="P519" s="8" t="n">
        <f aca="false">IFERROR(O519/M519,0)</f>
        <v>0.461538461538462</v>
      </c>
    </row>
    <row r="520" customFormat="false" ht="15" hidden="false" customHeight="true" outlineLevel="0" collapsed="false">
      <c r="A520" s="3" t="s">
        <v>75</v>
      </c>
      <c r="B520" s="3" t="s">
        <v>76</v>
      </c>
      <c r="C520" s="3" t="s">
        <v>18</v>
      </c>
      <c r="D520" s="3" t="s">
        <v>77</v>
      </c>
      <c r="E520" s="3" t="s">
        <v>20</v>
      </c>
      <c r="F520" s="3" t="s">
        <v>40</v>
      </c>
      <c r="G520" s="3" t="s">
        <v>41</v>
      </c>
      <c r="H520" s="3" t="s">
        <v>42</v>
      </c>
      <c r="I520" s="4" t="n">
        <v>3.5</v>
      </c>
      <c r="J520" s="4" t="n">
        <v>6.5</v>
      </c>
      <c r="K520" s="3" t="s">
        <v>26</v>
      </c>
      <c r="L520" s="3" t="n">
        <v>282</v>
      </c>
      <c r="M520" s="4" t="n">
        <f aca="false">L520*J520</f>
        <v>1833</v>
      </c>
      <c r="N520" s="4" t="n">
        <f aca="false">L520*I520</f>
        <v>987</v>
      </c>
      <c r="O520" s="4" t="n">
        <f aca="false">M520-N520</f>
        <v>846</v>
      </c>
      <c r="P520" s="5" t="n">
        <f aca="false">IFERROR(O520/M520,0)</f>
        <v>0.461538461538462</v>
      </c>
    </row>
    <row r="521" customFormat="false" ht="15" hidden="false" customHeight="true" outlineLevel="0" collapsed="false">
      <c r="A521" s="6" t="s">
        <v>75</v>
      </c>
      <c r="B521" s="6" t="s">
        <v>76</v>
      </c>
      <c r="C521" s="6" t="s">
        <v>18</v>
      </c>
      <c r="D521" s="6" t="s">
        <v>77</v>
      </c>
      <c r="E521" s="6" t="s">
        <v>20</v>
      </c>
      <c r="F521" s="6" t="s">
        <v>40</v>
      </c>
      <c r="G521" s="6" t="s">
        <v>41</v>
      </c>
      <c r="H521" s="6" t="s">
        <v>42</v>
      </c>
      <c r="I521" s="7" t="n">
        <v>3.5</v>
      </c>
      <c r="J521" s="7" t="n">
        <v>6.5</v>
      </c>
      <c r="K521" s="6" t="s">
        <v>27</v>
      </c>
      <c r="L521" s="6" t="n">
        <v>202</v>
      </c>
      <c r="M521" s="7" t="n">
        <f aca="false">L521*J521</f>
        <v>1313</v>
      </c>
      <c r="N521" s="7" t="n">
        <f aca="false">L521*I521</f>
        <v>707</v>
      </c>
      <c r="O521" s="7" t="n">
        <f aca="false">M521-N521</f>
        <v>606</v>
      </c>
      <c r="P521" s="8" t="n">
        <f aca="false">IFERROR(O521/M521,0)</f>
        <v>0.461538461538462</v>
      </c>
    </row>
    <row r="522" customFormat="false" ht="15" hidden="false" customHeight="true" outlineLevel="0" collapsed="false">
      <c r="A522" s="3" t="s">
        <v>75</v>
      </c>
      <c r="B522" s="3" t="s">
        <v>76</v>
      </c>
      <c r="C522" s="3" t="s">
        <v>18</v>
      </c>
      <c r="D522" s="3" t="s">
        <v>77</v>
      </c>
      <c r="E522" s="3" t="s">
        <v>20</v>
      </c>
      <c r="F522" s="3" t="s">
        <v>40</v>
      </c>
      <c r="G522" s="3" t="s">
        <v>41</v>
      </c>
      <c r="H522" s="3" t="s">
        <v>42</v>
      </c>
      <c r="I522" s="4" t="n">
        <v>3.5</v>
      </c>
      <c r="J522" s="4" t="n">
        <v>6.5</v>
      </c>
      <c r="K522" s="3" t="s">
        <v>28</v>
      </c>
      <c r="L522" s="3" t="n">
        <v>294</v>
      </c>
      <c r="M522" s="4" t="n">
        <f aca="false">L522*J522</f>
        <v>1911</v>
      </c>
      <c r="N522" s="4" t="n">
        <f aca="false">L522*I522</f>
        <v>1029</v>
      </c>
      <c r="O522" s="4" t="n">
        <f aca="false">M522-N522</f>
        <v>882</v>
      </c>
      <c r="P522" s="5" t="n">
        <f aca="false">IFERROR(O522/M522,0)</f>
        <v>0.461538461538462</v>
      </c>
    </row>
    <row r="523" customFormat="false" ht="15" hidden="false" customHeight="true" outlineLevel="0" collapsed="false">
      <c r="A523" s="6" t="s">
        <v>75</v>
      </c>
      <c r="B523" s="6" t="s">
        <v>76</v>
      </c>
      <c r="C523" s="6" t="s">
        <v>18</v>
      </c>
      <c r="D523" s="6" t="s">
        <v>77</v>
      </c>
      <c r="E523" s="6" t="s">
        <v>20</v>
      </c>
      <c r="F523" s="6" t="s">
        <v>40</v>
      </c>
      <c r="G523" s="6" t="s">
        <v>41</v>
      </c>
      <c r="H523" s="6" t="s">
        <v>42</v>
      </c>
      <c r="I523" s="7" t="n">
        <v>3.5</v>
      </c>
      <c r="J523" s="7" t="n">
        <v>6.5</v>
      </c>
      <c r="K523" s="6" t="s">
        <v>29</v>
      </c>
      <c r="L523" s="6" t="n">
        <v>340</v>
      </c>
      <c r="M523" s="7" t="n">
        <f aca="false">L523*J523</f>
        <v>2210</v>
      </c>
      <c r="N523" s="7" t="n">
        <f aca="false">L523*I523</f>
        <v>1190</v>
      </c>
      <c r="O523" s="7" t="n">
        <f aca="false">M523-N523</f>
        <v>1020</v>
      </c>
      <c r="P523" s="8" t="n">
        <f aca="false">IFERROR(O523/M523,0)</f>
        <v>0.461538461538462</v>
      </c>
    </row>
    <row r="524" customFormat="false" ht="15" hidden="false" customHeight="true" outlineLevel="0" collapsed="false">
      <c r="A524" s="3" t="s">
        <v>75</v>
      </c>
      <c r="B524" s="3" t="s">
        <v>76</v>
      </c>
      <c r="C524" s="3" t="s">
        <v>18</v>
      </c>
      <c r="D524" s="3" t="s">
        <v>77</v>
      </c>
      <c r="E524" s="3" t="s">
        <v>20</v>
      </c>
      <c r="F524" s="3" t="s">
        <v>43</v>
      </c>
      <c r="G524" s="3" t="s">
        <v>44</v>
      </c>
      <c r="H524" s="3" t="s">
        <v>42</v>
      </c>
      <c r="I524" s="4" t="n">
        <v>2</v>
      </c>
      <c r="J524" s="4" t="n">
        <v>3.8</v>
      </c>
      <c r="K524" s="3" t="s">
        <v>24</v>
      </c>
      <c r="L524" s="3" t="n">
        <v>133</v>
      </c>
      <c r="M524" s="4" t="n">
        <f aca="false">L524*J524</f>
        <v>505.4</v>
      </c>
      <c r="N524" s="4" t="n">
        <f aca="false">L524*I524</f>
        <v>266</v>
      </c>
      <c r="O524" s="4" t="n">
        <f aca="false">M524-N524</f>
        <v>239.4</v>
      </c>
      <c r="P524" s="5" t="n">
        <f aca="false">IFERROR(O524/M524,0)</f>
        <v>0.473684210526316</v>
      </c>
    </row>
    <row r="525" customFormat="false" ht="15" hidden="false" customHeight="true" outlineLevel="0" collapsed="false">
      <c r="A525" s="6" t="s">
        <v>75</v>
      </c>
      <c r="B525" s="6" t="s">
        <v>76</v>
      </c>
      <c r="C525" s="6" t="s">
        <v>18</v>
      </c>
      <c r="D525" s="6" t="s">
        <v>77</v>
      </c>
      <c r="E525" s="6" t="s">
        <v>20</v>
      </c>
      <c r="F525" s="6" t="s">
        <v>43</v>
      </c>
      <c r="G525" s="6" t="s">
        <v>44</v>
      </c>
      <c r="H525" s="6" t="s">
        <v>42</v>
      </c>
      <c r="I525" s="7" t="n">
        <v>2</v>
      </c>
      <c r="J525" s="7" t="n">
        <v>3.8</v>
      </c>
      <c r="K525" s="6" t="s">
        <v>25</v>
      </c>
      <c r="L525" s="6" t="n">
        <v>256</v>
      </c>
      <c r="M525" s="7" t="n">
        <f aca="false">L525*J525</f>
        <v>972.8</v>
      </c>
      <c r="N525" s="7" t="n">
        <f aca="false">L525*I525</f>
        <v>512</v>
      </c>
      <c r="O525" s="7" t="n">
        <f aca="false">M525-N525</f>
        <v>460.8</v>
      </c>
      <c r="P525" s="8" t="n">
        <f aca="false">IFERROR(O525/M525,0)</f>
        <v>0.473684210526316</v>
      </c>
    </row>
    <row r="526" customFormat="false" ht="15" hidden="false" customHeight="true" outlineLevel="0" collapsed="false">
      <c r="A526" s="3" t="s">
        <v>75</v>
      </c>
      <c r="B526" s="3" t="s">
        <v>76</v>
      </c>
      <c r="C526" s="3" t="s">
        <v>18</v>
      </c>
      <c r="D526" s="3" t="s">
        <v>77</v>
      </c>
      <c r="E526" s="3" t="s">
        <v>20</v>
      </c>
      <c r="F526" s="3" t="s">
        <v>43</v>
      </c>
      <c r="G526" s="3" t="s">
        <v>44</v>
      </c>
      <c r="H526" s="3" t="s">
        <v>42</v>
      </c>
      <c r="I526" s="4" t="n">
        <v>2</v>
      </c>
      <c r="J526" s="4" t="n">
        <v>3.8</v>
      </c>
      <c r="K526" s="3" t="s">
        <v>26</v>
      </c>
      <c r="L526" s="3" t="n">
        <v>168</v>
      </c>
      <c r="M526" s="4" t="n">
        <f aca="false">L526*J526</f>
        <v>638.4</v>
      </c>
      <c r="N526" s="4" t="n">
        <f aca="false">L526*I526</f>
        <v>336</v>
      </c>
      <c r="O526" s="4" t="n">
        <f aca="false">M526-N526</f>
        <v>302.4</v>
      </c>
      <c r="P526" s="5" t="n">
        <f aca="false">IFERROR(O526/M526,0)</f>
        <v>0.473684210526316</v>
      </c>
    </row>
    <row r="527" customFormat="false" ht="15" hidden="false" customHeight="true" outlineLevel="0" collapsed="false">
      <c r="A527" s="6" t="s">
        <v>75</v>
      </c>
      <c r="B527" s="6" t="s">
        <v>76</v>
      </c>
      <c r="C527" s="6" t="s">
        <v>18</v>
      </c>
      <c r="D527" s="6" t="s">
        <v>77</v>
      </c>
      <c r="E527" s="6" t="s">
        <v>20</v>
      </c>
      <c r="F527" s="6" t="s">
        <v>43</v>
      </c>
      <c r="G527" s="6" t="s">
        <v>44</v>
      </c>
      <c r="H527" s="6" t="s">
        <v>42</v>
      </c>
      <c r="I527" s="7" t="n">
        <v>2</v>
      </c>
      <c r="J527" s="7" t="n">
        <v>3.8</v>
      </c>
      <c r="K527" s="6" t="s">
        <v>27</v>
      </c>
      <c r="L527" s="6" t="n">
        <v>231</v>
      </c>
      <c r="M527" s="7" t="n">
        <f aca="false">L527*J527</f>
        <v>877.8</v>
      </c>
      <c r="N527" s="7" t="n">
        <f aca="false">L527*I527</f>
        <v>462</v>
      </c>
      <c r="O527" s="7" t="n">
        <f aca="false">M527-N527</f>
        <v>415.8</v>
      </c>
      <c r="P527" s="8" t="n">
        <f aca="false">IFERROR(O527/M527,0)</f>
        <v>0.473684210526316</v>
      </c>
    </row>
    <row r="528" customFormat="false" ht="15" hidden="false" customHeight="true" outlineLevel="0" collapsed="false">
      <c r="A528" s="3" t="s">
        <v>75</v>
      </c>
      <c r="B528" s="3" t="s">
        <v>76</v>
      </c>
      <c r="C528" s="3" t="s">
        <v>18</v>
      </c>
      <c r="D528" s="3" t="s">
        <v>77</v>
      </c>
      <c r="E528" s="3" t="s">
        <v>20</v>
      </c>
      <c r="F528" s="3" t="s">
        <v>43</v>
      </c>
      <c r="G528" s="3" t="s">
        <v>44</v>
      </c>
      <c r="H528" s="3" t="s">
        <v>42</v>
      </c>
      <c r="I528" s="4" t="n">
        <v>2</v>
      </c>
      <c r="J528" s="4" t="n">
        <v>3.8</v>
      </c>
      <c r="K528" s="3" t="s">
        <v>28</v>
      </c>
      <c r="L528" s="3" t="n">
        <v>216</v>
      </c>
      <c r="M528" s="4" t="n">
        <f aca="false">L528*J528</f>
        <v>820.8</v>
      </c>
      <c r="N528" s="4" t="n">
        <f aca="false">L528*I528</f>
        <v>432</v>
      </c>
      <c r="O528" s="4" t="n">
        <f aca="false">M528-N528</f>
        <v>388.8</v>
      </c>
      <c r="P528" s="5" t="n">
        <f aca="false">IFERROR(O528/M528,0)</f>
        <v>0.473684210526316</v>
      </c>
    </row>
    <row r="529" customFormat="false" ht="15" hidden="false" customHeight="true" outlineLevel="0" collapsed="false">
      <c r="A529" s="6" t="s">
        <v>75</v>
      </c>
      <c r="B529" s="6" t="s">
        <v>76</v>
      </c>
      <c r="C529" s="6" t="s">
        <v>18</v>
      </c>
      <c r="D529" s="6" t="s">
        <v>77</v>
      </c>
      <c r="E529" s="6" t="s">
        <v>20</v>
      </c>
      <c r="F529" s="6" t="s">
        <v>43</v>
      </c>
      <c r="G529" s="6" t="s">
        <v>44</v>
      </c>
      <c r="H529" s="6" t="s">
        <v>42</v>
      </c>
      <c r="I529" s="7" t="n">
        <v>2</v>
      </c>
      <c r="J529" s="7" t="n">
        <v>3.8</v>
      </c>
      <c r="K529" s="6" t="s">
        <v>29</v>
      </c>
      <c r="L529" s="6" t="n">
        <v>55</v>
      </c>
      <c r="M529" s="7" t="n">
        <f aca="false">L529*J529</f>
        <v>209</v>
      </c>
      <c r="N529" s="7" t="n">
        <f aca="false">L529*I529</f>
        <v>110</v>
      </c>
      <c r="O529" s="7" t="n">
        <f aca="false">M529-N529</f>
        <v>99</v>
      </c>
      <c r="P529" s="8" t="n">
        <f aca="false">IFERROR(O529/M529,0)</f>
        <v>0.473684210526316</v>
      </c>
    </row>
    <row r="530" customFormat="false" ht="15" hidden="false" customHeight="true" outlineLevel="0" collapsed="false">
      <c r="A530" s="3" t="s">
        <v>75</v>
      </c>
      <c r="B530" s="3" t="s">
        <v>76</v>
      </c>
      <c r="C530" s="3" t="s">
        <v>18</v>
      </c>
      <c r="D530" s="3" t="s">
        <v>77</v>
      </c>
      <c r="E530" s="3" t="s">
        <v>20</v>
      </c>
      <c r="F530" s="3" t="s">
        <v>45</v>
      </c>
      <c r="G530" s="3" t="s">
        <v>46</v>
      </c>
      <c r="H530" s="3" t="s">
        <v>42</v>
      </c>
      <c r="I530" s="4" t="n">
        <v>5</v>
      </c>
      <c r="J530" s="4" t="n">
        <v>10</v>
      </c>
      <c r="K530" s="3" t="s">
        <v>24</v>
      </c>
      <c r="L530" s="3" t="n">
        <v>160</v>
      </c>
      <c r="M530" s="4" t="n">
        <f aca="false">L530*J530</f>
        <v>1600</v>
      </c>
      <c r="N530" s="4" t="n">
        <f aca="false">L530*I530</f>
        <v>800</v>
      </c>
      <c r="O530" s="4" t="n">
        <f aca="false">M530-N530</f>
        <v>800</v>
      </c>
      <c r="P530" s="5" t="n">
        <f aca="false">IFERROR(O530/M530,0)</f>
        <v>0.5</v>
      </c>
    </row>
    <row r="531" customFormat="false" ht="15" hidden="false" customHeight="true" outlineLevel="0" collapsed="false">
      <c r="A531" s="6" t="s">
        <v>75</v>
      </c>
      <c r="B531" s="6" t="s">
        <v>76</v>
      </c>
      <c r="C531" s="6" t="s">
        <v>18</v>
      </c>
      <c r="D531" s="6" t="s">
        <v>77</v>
      </c>
      <c r="E531" s="6" t="s">
        <v>20</v>
      </c>
      <c r="F531" s="6" t="s">
        <v>45</v>
      </c>
      <c r="G531" s="6" t="s">
        <v>46</v>
      </c>
      <c r="H531" s="6" t="s">
        <v>42</v>
      </c>
      <c r="I531" s="7" t="n">
        <v>5</v>
      </c>
      <c r="J531" s="7" t="n">
        <v>10</v>
      </c>
      <c r="K531" s="6" t="s">
        <v>25</v>
      </c>
      <c r="L531" s="6" t="n">
        <v>61</v>
      </c>
      <c r="M531" s="7" t="n">
        <f aca="false">L531*J531</f>
        <v>610</v>
      </c>
      <c r="N531" s="7" t="n">
        <f aca="false">L531*I531</f>
        <v>305</v>
      </c>
      <c r="O531" s="7" t="n">
        <f aca="false">M531-N531</f>
        <v>305</v>
      </c>
      <c r="P531" s="8" t="n">
        <f aca="false">IFERROR(O531/M531,0)</f>
        <v>0.5</v>
      </c>
    </row>
    <row r="532" customFormat="false" ht="15" hidden="false" customHeight="true" outlineLevel="0" collapsed="false">
      <c r="A532" s="3" t="s">
        <v>75</v>
      </c>
      <c r="B532" s="3" t="s">
        <v>76</v>
      </c>
      <c r="C532" s="3" t="s">
        <v>18</v>
      </c>
      <c r="D532" s="3" t="s">
        <v>77</v>
      </c>
      <c r="E532" s="3" t="s">
        <v>20</v>
      </c>
      <c r="F532" s="3" t="s">
        <v>45</v>
      </c>
      <c r="G532" s="3" t="s">
        <v>46</v>
      </c>
      <c r="H532" s="3" t="s">
        <v>42</v>
      </c>
      <c r="I532" s="4" t="n">
        <v>5</v>
      </c>
      <c r="J532" s="4" t="n">
        <v>10</v>
      </c>
      <c r="K532" s="3" t="s">
        <v>26</v>
      </c>
      <c r="L532" s="3" t="n">
        <v>311</v>
      </c>
      <c r="M532" s="4" t="n">
        <f aca="false">L532*J532</f>
        <v>3110</v>
      </c>
      <c r="N532" s="4" t="n">
        <f aca="false">L532*I532</f>
        <v>1555</v>
      </c>
      <c r="O532" s="4" t="n">
        <f aca="false">M532-N532</f>
        <v>1555</v>
      </c>
      <c r="P532" s="5" t="n">
        <f aca="false">IFERROR(O532/M532,0)</f>
        <v>0.5</v>
      </c>
    </row>
    <row r="533" customFormat="false" ht="15" hidden="false" customHeight="true" outlineLevel="0" collapsed="false">
      <c r="A533" s="6" t="s">
        <v>75</v>
      </c>
      <c r="B533" s="6" t="s">
        <v>76</v>
      </c>
      <c r="C533" s="6" t="s">
        <v>18</v>
      </c>
      <c r="D533" s="6" t="s">
        <v>77</v>
      </c>
      <c r="E533" s="6" t="s">
        <v>20</v>
      </c>
      <c r="F533" s="6" t="s">
        <v>45</v>
      </c>
      <c r="G533" s="6" t="s">
        <v>46</v>
      </c>
      <c r="H533" s="6" t="s">
        <v>42</v>
      </c>
      <c r="I533" s="7" t="n">
        <v>5</v>
      </c>
      <c r="J533" s="7" t="n">
        <v>10</v>
      </c>
      <c r="K533" s="6" t="s">
        <v>27</v>
      </c>
      <c r="L533" s="6" t="n">
        <v>163</v>
      </c>
      <c r="M533" s="7" t="n">
        <f aca="false">L533*J533</f>
        <v>1630</v>
      </c>
      <c r="N533" s="7" t="n">
        <f aca="false">L533*I533</f>
        <v>815</v>
      </c>
      <c r="O533" s="7" t="n">
        <f aca="false">M533-N533</f>
        <v>815</v>
      </c>
      <c r="P533" s="8" t="n">
        <f aca="false">IFERROR(O533/M533,0)</f>
        <v>0.5</v>
      </c>
    </row>
    <row r="534" customFormat="false" ht="15" hidden="false" customHeight="true" outlineLevel="0" collapsed="false">
      <c r="A534" s="3" t="s">
        <v>75</v>
      </c>
      <c r="B534" s="3" t="s">
        <v>76</v>
      </c>
      <c r="C534" s="3" t="s">
        <v>18</v>
      </c>
      <c r="D534" s="3" t="s">
        <v>77</v>
      </c>
      <c r="E534" s="3" t="s">
        <v>20</v>
      </c>
      <c r="F534" s="3" t="s">
        <v>45</v>
      </c>
      <c r="G534" s="3" t="s">
        <v>46</v>
      </c>
      <c r="H534" s="3" t="s">
        <v>42</v>
      </c>
      <c r="I534" s="4" t="n">
        <v>5</v>
      </c>
      <c r="J534" s="4" t="n">
        <v>10</v>
      </c>
      <c r="K534" s="3" t="s">
        <v>28</v>
      </c>
      <c r="L534" s="3" t="n">
        <v>249</v>
      </c>
      <c r="M534" s="4" t="n">
        <f aca="false">L534*J534</f>
        <v>2490</v>
      </c>
      <c r="N534" s="4" t="n">
        <f aca="false">L534*I534</f>
        <v>1245</v>
      </c>
      <c r="O534" s="4" t="n">
        <f aca="false">M534-N534</f>
        <v>1245</v>
      </c>
      <c r="P534" s="5" t="n">
        <f aca="false">IFERROR(O534/M534,0)</f>
        <v>0.5</v>
      </c>
    </row>
    <row r="535" customFormat="false" ht="15" hidden="false" customHeight="true" outlineLevel="0" collapsed="false">
      <c r="A535" s="6" t="s">
        <v>75</v>
      </c>
      <c r="B535" s="6" t="s">
        <v>76</v>
      </c>
      <c r="C535" s="6" t="s">
        <v>18</v>
      </c>
      <c r="D535" s="6" t="s">
        <v>77</v>
      </c>
      <c r="E535" s="6" t="s">
        <v>20</v>
      </c>
      <c r="F535" s="6" t="s">
        <v>45</v>
      </c>
      <c r="G535" s="6" t="s">
        <v>46</v>
      </c>
      <c r="H535" s="6" t="s">
        <v>42</v>
      </c>
      <c r="I535" s="7" t="n">
        <v>5</v>
      </c>
      <c r="J535" s="7" t="n">
        <v>10</v>
      </c>
      <c r="K535" s="6" t="s">
        <v>29</v>
      </c>
      <c r="L535" s="6" t="n">
        <v>174</v>
      </c>
      <c r="M535" s="7" t="n">
        <f aca="false">L535*J535</f>
        <v>1740</v>
      </c>
      <c r="N535" s="7" t="n">
        <f aca="false">L535*I535</f>
        <v>870</v>
      </c>
      <c r="O535" s="7" t="n">
        <f aca="false">M535-N535</f>
        <v>870</v>
      </c>
      <c r="P535" s="8" t="n">
        <f aca="false">IFERROR(O535/M535,0)</f>
        <v>0.5</v>
      </c>
    </row>
    <row r="536" customFormat="false" ht="15" hidden="false" customHeight="true" outlineLevel="0" collapsed="false">
      <c r="A536" s="3" t="s">
        <v>75</v>
      </c>
      <c r="B536" s="3" t="s">
        <v>76</v>
      </c>
      <c r="C536" s="3" t="s">
        <v>18</v>
      </c>
      <c r="D536" s="3" t="s">
        <v>77</v>
      </c>
      <c r="E536" s="3" t="s">
        <v>20</v>
      </c>
      <c r="F536" s="3" t="s">
        <v>47</v>
      </c>
      <c r="G536" s="3" t="s">
        <v>48</v>
      </c>
      <c r="H536" s="3" t="s">
        <v>42</v>
      </c>
      <c r="I536" s="4" t="n">
        <v>2.8</v>
      </c>
      <c r="J536" s="4" t="n">
        <v>5.5</v>
      </c>
      <c r="K536" s="3" t="s">
        <v>24</v>
      </c>
      <c r="L536" s="3" t="n">
        <v>152</v>
      </c>
      <c r="M536" s="4" t="n">
        <f aca="false">L536*J536</f>
        <v>836</v>
      </c>
      <c r="N536" s="4" t="n">
        <f aca="false">L536*I536</f>
        <v>425.6</v>
      </c>
      <c r="O536" s="4" t="n">
        <f aca="false">M536-N536</f>
        <v>410.4</v>
      </c>
      <c r="P536" s="5" t="n">
        <f aca="false">IFERROR(O536/M536,0)</f>
        <v>0.490909090909091</v>
      </c>
    </row>
    <row r="537" customFormat="false" ht="15" hidden="false" customHeight="true" outlineLevel="0" collapsed="false">
      <c r="A537" s="6" t="s">
        <v>75</v>
      </c>
      <c r="B537" s="6" t="s">
        <v>76</v>
      </c>
      <c r="C537" s="6" t="s">
        <v>18</v>
      </c>
      <c r="D537" s="6" t="s">
        <v>77</v>
      </c>
      <c r="E537" s="6" t="s">
        <v>20</v>
      </c>
      <c r="F537" s="6" t="s">
        <v>47</v>
      </c>
      <c r="G537" s="6" t="s">
        <v>48</v>
      </c>
      <c r="H537" s="6" t="s">
        <v>42</v>
      </c>
      <c r="I537" s="7" t="n">
        <v>2.8</v>
      </c>
      <c r="J537" s="7" t="n">
        <v>5.5</v>
      </c>
      <c r="K537" s="6" t="s">
        <v>25</v>
      </c>
      <c r="L537" s="6" t="n">
        <v>85</v>
      </c>
      <c r="M537" s="7" t="n">
        <f aca="false">L537*J537</f>
        <v>467.5</v>
      </c>
      <c r="N537" s="7" t="n">
        <f aca="false">L537*I537</f>
        <v>238</v>
      </c>
      <c r="O537" s="7" t="n">
        <f aca="false">M537-N537</f>
        <v>229.5</v>
      </c>
      <c r="P537" s="8" t="n">
        <f aca="false">IFERROR(O537/M537,0)</f>
        <v>0.490909090909091</v>
      </c>
    </row>
    <row r="538" customFormat="false" ht="15" hidden="false" customHeight="true" outlineLevel="0" collapsed="false">
      <c r="A538" s="3" t="s">
        <v>75</v>
      </c>
      <c r="B538" s="3" t="s">
        <v>76</v>
      </c>
      <c r="C538" s="3" t="s">
        <v>18</v>
      </c>
      <c r="D538" s="3" t="s">
        <v>77</v>
      </c>
      <c r="E538" s="3" t="s">
        <v>20</v>
      </c>
      <c r="F538" s="3" t="s">
        <v>47</v>
      </c>
      <c r="G538" s="3" t="s">
        <v>48</v>
      </c>
      <c r="H538" s="3" t="s">
        <v>42</v>
      </c>
      <c r="I538" s="4" t="n">
        <v>2.8</v>
      </c>
      <c r="J538" s="4" t="n">
        <v>5.5</v>
      </c>
      <c r="K538" s="3" t="s">
        <v>26</v>
      </c>
      <c r="L538" s="3" t="n">
        <v>54</v>
      </c>
      <c r="M538" s="4" t="n">
        <f aca="false">L538*J538</f>
        <v>297</v>
      </c>
      <c r="N538" s="4" t="n">
        <f aca="false">L538*I538</f>
        <v>151.2</v>
      </c>
      <c r="O538" s="4" t="n">
        <f aca="false">M538-N538</f>
        <v>145.8</v>
      </c>
      <c r="P538" s="5" t="n">
        <f aca="false">IFERROR(O538/M538,0)</f>
        <v>0.490909090909091</v>
      </c>
    </row>
    <row r="539" customFormat="false" ht="15" hidden="false" customHeight="true" outlineLevel="0" collapsed="false">
      <c r="A539" s="6" t="s">
        <v>75</v>
      </c>
      <c r="B539" s="6" t="s">
        <v>76</v>
      </c>
      <c r="C539" s="6" t="s">
        <v>18</v>
      </c>
      <c r="D539" s="6" t="s">
        <v>77</v>
      </c>
      <c r="E539" s="6" t="s">
        <v>20</v>
      </c>
      <c r="F539" s="6" t="s">
        <v>47</v>
      </c>
      <c r="G539" s="6" t="s">
        <v>48</v>
      </c>
      <c r="H539" s="6" t="s">
        <v>42</v>
      </c>
      <c r="I539" s="7" t="n">
        <v>2.8</v>
      </c>
      <c r="J539" s="7" t="n">
        <v>5.5</v>
      </c>
      <c r="K539" s="6" t="s">
        <v>27</v>
      </c>
      <c r="L539" s="6" t="n">
        <v>258</v>
      </c>
      <c r="M539" s="7" t="n">
        <f aca="false">L539*J539</f>
        <v>1419</v>
      </c>
      <c r="N539" s="7" t="n">
        <f aca="false">L539*I539</f>
        <v>722.4</v>
      </c>
      <c r="O539" s="7" t="n">
        <f aca="false">M539-N539</f>
        <v>696.6</v>
      </c>
      <c r="P539" s="8" t="n">
        <f aca="false">IFERROR(O539/M539,0)</f>
        <v>0.490909090909091</v>
      </c>
    </row>
    <row r="540" customFormat="false" ht="15" hidden="false" customHeight="true" outlineLevel="0" collapsed="false">
      <c r="A540" s="3" t="s">
        <v>75</v>
      </c>
      <c r="B540" s="3" t="s">
        <v>76</v>
      </c>
      <c r="C540" s="3" t="s">
        <v>18</v>
      </c>
      <c r="D540" s="3" t="s">
        <v>77</v>
      </c>
      <c r="E540" s="3" t="s">
        <v>20</v>
      </c>
      <c r="F540" s="3" t="s">
        <v>47</v>
      </c>
      <c r="G540" s="3" t="s">
        <v>48</v>
      </c>
      <c r="H540" s="3" t="s">
        <v>42</v>
      </c>
      <c r="I540" s="4" t="n">
        <v>2.8</v>
      </c>
      <c r="J540" s="4" t="n">
        <v>5.5</v>
      </c>
      <c r="K540" s="3" t="s">
        <v>28</v>
      </c>
      <c r="L540" s="3" t="n">
        <v>253</v>
      </c>
      <c r="M540" s="4" t="n">
        <f aca="false">L540*J540</f>
        <v>1391.5</v>
      </c>
      <c r="N540" s="4" t="n">
        <f aca="false">L540*I540</f>
        <v>708.4</v>
      </c>
      <c r="O540" s="4" t="n">
        <f aca="false">M540-N540</f>
        <v>683.1</v>
      </c>
      <c r="P540" s="5" t="n">
        <f aca="false">IFERROR(O540/M540,0)</f>
        <v>0.490909090909091</v>
      </c>
    </row>
    <row r="541" customFormat="false" ht="15" hidden="false" customHeight="true" outlineLevel="0" collapsed="false">
      <c r="A541" s="6" t="s">
        <v>75</v>
      </c>
      <c r="B541" s="6" t="s">
        <v>76</v>
      </c>
      <c r="C541" s="6" t="s">
        <v>18</v>
      </c>
      <c r="D541" s="6" t="s">
        <v>77</v>
      </c>
      <c r="E541" s="6" t="s">
        <v>20</v>
      </c>
      <c r="F541" s="6" t="s">
        <v>47</v>
      </c>
      <c r="G541" s="6" t="s">
        <v>48</v>
      </c>
      <c r="H541" s="6" t="s">
        <v>42</v>
      </c>
      <c r="I541" s="7" t="n">
        <v>2.8</v>
      </c>
      <c r="J541" s="7" t="n">
        <v>5.5</v>
      </c>
      <c r="K541" s="6" t="s">
        <v>29</v>
      </c>
      <c r="L541" s="6" t="n">
        <v>97</v>
      </c>
      <c r="M541" s="7" t="n">
        <f aca="false">L541*J541</f>
        <v>533.5</v>
      </c>
      <c r="N541" s="7" t="n">
        <f aca="false">L541*I541</f>
        <v>271.6</v>
      </c>
      <c r="O541" s="7" t="n">
        <f aca="false">M541-N541</f>
        <v>261.9</v>
      </c>
      <c r="P541" s="8" t="n">
        <f aca="false">IFERROR(O541/M541,0)</f>
        <v>0.490909090909091</v>
      </c>
    </row>
    <row r="542" customFormat="false" ht="15" hidden="false" customHeight="true" outlineLevel="0" collapsed="false">
      <c r="A542" s="3" t="s">
        <v>78</v>
      </c>
      <c r="B542" s="3" t="s">
        <v>79</v>
      </c>
      <c r="C542" s="3" t="s">
        <v>18</v>
      </c>
      <c r="D542" s="3" t="s">
        <v>19</v>
      </c>
      <c r="E542" s="3" t="s">
        <v>61</v>
      </c>
      <c r="F542" s="3" t="s">
        <v>21</v>
      </c>
      <c r="G542" s="3" t="s">
        <v>22</v>
      </c>
      <c r="H542" s="3" t="s">
        <v>23</v>
      </c>
      <c r="I542" s="4" t="n">
        <v>8.99</v>
      </c>
      <c r="J542" s="4" t="n">
        <v>22</v>
      </c>
      <c r="K542" s="3" t="s">
        <v>24</v>
      </c>
      <c r="L542" s="3" t="n">
        <v>200</v>
      </c>
      <c r="M542" s="4" t="n">
        <f aca="false">L542*J542</f>
        <v>4400</v>
      </c>
      <c r="N542" s="4" t="n">
        <f aca="false">L542*I542</f>
        <v>1798</v>
      </c>
      <c r="O542" s="4" t="n">
        <f aca="false">M542-N542</f>
        <v>2602</v>
      </c>
      <c r="P542" s="5" t="n">
        <f aca="false">IFERROR(O542/M542,0)</f>
        <v>0.591363636363636</v>
      </c>
    </row>
    <row r="543" customFormat="false" ht="15" hidden="false" customHeight="true" outlineLevel="0" collapsed="false">
      <c r="A543" s="6" t="s">
        <v>78</v>
      </c>
      <c r="B543" s="6" t="s">
        <v>79</v>
      </c>
      <c r="C543" s="6" t="s">
        <v>18</v>
      </c>
      <c r="D543" s="6" t="s">
        <v>19</v>
      </c>
      <c r="E543" s="6" t="s">
        <v>61</v>
      </c>
      <c r="F543" s="6" t="s">
        <v>21</v>
      </c>
      <c r="G543" s="6" t="s">
        <v>22</v>
      </c>
      <c r="H543" s="6" t="s">
        <v>23</v>
      </c>
      <c r="I543" s="7" t="n">
        <v>8.99</v>
      </c>
      <c r="J543" s="7" t="n">
        <v>22</v>
      </c>
      <c r="K543" s="6" t="s">
        <v>25</v>
      </c>
      <c r="L543" s="6" t="n">
        <v>109</v>
      </c>
      <c r="M543" s="7" t="n">
        <f aca="false">L543*J543</f>
        <v>2398</v>
      </c>
      <c r="N543" s="7" t="n">
        <f aca="false">L543*I543</f>
        <v>979.91</v>
      </c>
      <c r="O543" s="7" t="n">
        <f aca="false">M543-N543</f>
        <v>1418.09</v>
      </c>
      <c r="P543" s="8" t="n">
        <f aca="false">IFERROR(O543/M543,0)</f>
        <v>0.591363636363636</v>
      </c>
    </row>
    <row r="544" customFormat="false" ht="15" hidden="false" customHeight="true" outlineLevel="0" collapsed="false">
      <c r="A544" s="3" t="s">
        <v>78</v>
      </c>
      <c r="B544" s="3" t="s">
        <v>79</v>
      </c>
      <c r="C544" s="3" t="s">
        <v>18</v>
      </c>
      <c r="D544" s="3" t="s">
        <v>19</v>
      </c>
      <c r="E544" s="3" t="s">
        <v>61</v>
      </c>
      <c r="F544" s="3" t="s">
        <v>21</v>
      </c>
      <c r="G544" s="3" t="s">
        <v>22</v>
      </c>
      <c r="H544" s="3" t="s">
        <v>23</v>
      </c>
      <c r="I544" s="4" t="n">
        <v>8.99</v>
      </c>
      <c r="J544" s="4" t="n">
        <v>22</v>
      </c>
      <c r="K544" s="3" t="s">
        <v>26</v>
      </c>
      <c r="L544" s="3" t="n">
        <v>113</v>
      </c>
      <c r="M544" s="4" t="n">
        <f aca="false">L544*J544</f>
        <v>2486</v>
      </c>
      <c r="N544" s="4" t="n">
        <f aca="false">L544*I544</f>
        <v>1015.87</v>
      </c>
      <c r="O544" s="4" t="n">
        <f aca="false">M544-N544</f>
        <v>1470.13</v>
      </c>
      <c r="P544" s="5" t="n">
        <f aca="false">IFERROR(O544/M544,0)</f>
        <v>0.591363636363636</v>
      </c>
    </row>
    <row r="545" customFormat="false" ht="15" hidden="false" customHeight="true" outlineLevel="0" collapsed="false">
      <c r="A545" s="6" t="s">
        <v>78</v>
      </c>
      <c r="B545" s="6" t="s">
        <v>79</v>
      </c>
      <c r="C545" s="6" t="s">
        <v>18</v>
      </c>
      <c r="D545" s="6" t="s">
        <v>19</v>
      </c>
      <c r="E545" s="6" t="s">
        <v>61</v>
      </c>
      <c r="F545" s="6" t="s">
        <v>21</v>
      </c>
      <c r="G545" s="6" t="s">
        <v>22</v>
      </c>
      <c r="H545" s="6" t="s">
        <v>23</v>
      </c>
      <c r="I545" s="7" t="n">
        <v>8.99</v>
      </c>
      <c r="J545" s="7" t="n">
        <v>22</v>
      </c>
      <c r="K545" s="6" t="s">
        <v>27</v>
      </c>
      <c r="L545" s="6" t="n">
        <v>233</v>
      </c>
      <c r="M545" s="7" t="n">
        <f aca="false">L545*J545</f>
        <v>5126</v>
      </c>
      <c r="N545" s="7" t="n">
        <f aca="false">L545*I545</f>
        <v>2094.67</v>
      </c>
      <c r="O545" s="7" t="n">
        <f aca="false">M545-N545</f>
        <v>3031.33</v>
      </c>
      <c r="P545" s="8" t="n">
        <f aca="false">IFERROR(O545/M545,0)</f>
        <v>0.591363636363636</v>
      </c>
    </row>
    <row r="546" customFormat="false" ht="15" hidden="false" customHeight="true" outlineLevel="0" collapsed="false">
      <c r="A546" s="3" t="s">
        <v>78</v>
      </c>
      <c r="B546" s="3" t="s">
        <v>79</v>
      </c>
      <c r="C546" s="3" t="s">
        <v>18</v>
      </c>
      <c r="D546" s="3" t="s">
        <v>19</v>
      </c>
      <c r="E546" s="3" t="s">
        <v>61</v>
      </c>
      <c r="F546" s="3" t="s">
        <v>21</v>
      </c>
      <c r="G546" s="3" t="s">
        <v>22</v>
      </c>
      <c r="H546" s="3" t="s">
        <v>23</v>
      </c>
      <c r="I546" s="4" t="n">
        <v>8.99</v>
      </c>
      <c r="J546" s="4" t="n">
        <v>22</v>
      </c>
      <c r="K546" s="3" t="s">
        <v>28</v>
      </c>
      <c r="L546" s="3" t="n">
        <v>341</v>
      </c>
      <c r="M546" s="4" t="n">
        <f aca="false">L546*J546</f>
        <v>7502</v>
      </c>
      <c r="N546" s="4" t="n">
        <f aca="false">L546*I546</f>
        <v>3065.59</v>
      </c>
      <c r="O546" s="4" t="n">
        <f aca="false">M546-N546</f>
        <v>4436.41</v>
      </c>
      <c r="P546" s="5" t="n">
        <f aca="false">IFERROR(O546/M546,0)</f>
        <v>0.591363636363636</v>
      </c>
    </row>
    <row r="547" customFormat="false" ht="15" hidden="false" customHeight="true" outlineLevel="0" collapsed="false">
      <c r="A547" s="6" t="s">
        <v>78</v>
      </c>
      <c r="B547" s="6" t="s">
        <v>79</v>
      </c>
      <c r="C547" s="6" t="s">
        <v>18</v>
      </c>
      <c r="D547" s="6" t="s">
        <v>19</v>
      </c>
      <c r="E547" s="6" t="s">
        <v>61</v>
      </c>
      <c r="F547" s="6" t="s">
        <v>21</v>
      </c>
      <c r="G547" s="6" t="s">
        <v>22</v>
      </c>
      <c r="H547" s="6" t="s">
        <v>23</v>
      </c>
      <c r="I547" s="7" t="n">
        <v>8.99</v>
      </c>
      <c r="J547" s="7" t="n">
        <v>22</v>
      </c>
      <c r="K547" s="6" t="s">
        <v>29</v>
      </c>
      <c r="L547" s="6" t="n">
        <v>146</v>
      </c>
      <c r="M547" s="7" t="n">
        <f aca="false">L547*J547</f>
        <v>3212</v>
      </c>
      <c r="N547" s="7" t="n">
        <f aca="false">L547*I547</f>
        <v>1312.54</v>
      </c>
      <c r="O547" s="7" t="n">
        <f aca="false">M547-N547</f>
        <v>1899.46</v>
      </c>
      <c r="P547" s="8" t="n">
        <f aca="false">IFERROR(O547/M547,0)</f>
        <v>0.591363636363636</v>
      </c>
    </row>
    <row r="548" customFormat="false" ht="15" hidden="false" customHeight="true" outlineLevel="0" collapsed="false">
      <c r="A548" s="3" t="s">
        <v>78</v>
      </c>
      <c r="B548" s="3" t="s">
        <v>79</v>
      </c>
      <c r="C548" s="3" t="s">
        <v>18</v>
      </c>
      <c r="D548" s="3" t="s">
        <v>19</v>
      </c>
      <c r="E548" s="3" t="s">
        <v>61</v>
      </c>
      <c r="F548" s="3" t="s">
        <v>30</v>
      </c>
      <c r="G548" s="3" t="s">
        <v>31</v>
      </c>
      <c r="H548" s="3" t="s">
        <v>23</v>
      </c>
      <c r="I548" s="4" t="n">
        <v>8.5</v>
      </c>
      <c r="J548" s="4" t="n">
        <v>21</v>
      </c>
      <c r="K548" s="3" t="s">
        <v>24</v>
      </c>
      <c r="L548" s="3" t="n">
        <v>275</v>
      </c>
      <c r="M548" s="4" t="n">
        <f aca="false">L548*J548</f>
        <v>5775</v>
      </c>
      <c r="N548" s="4" t="n">
        <f aca="false">L548*I548</f>
        <v>2337.5</v>
      </c>
      <c r="O548" s="4" t="n">
        <f aca="false">M548-N548</f>
        <v>3437.5</v>
      </c>
      <c r="P548" s="5" t="n">
        <f aca="false">IFERROR(O548/M548,0)</f>
        <v>0.595238095238095</v>
      </c>
    </row>
    <row r="549" customFormat="false" ht="15" hidden="false" customHeight="true" outlineLevel="0" collapsed="false">
      <c r="A549" s="6" t="s">
        <v>78</v>
      </c>
      <c r="B549" s="6" t="s">
        <v>79</v>
      </c>
      <c r="C549" s="6" t="s">
        <v>18</v>
      </c>
      <c r="D549" s="6" t="s">
        <v>19</v>
      </c>
      <c r="E549" s="6" t="s">
        <v>61</v>
      </c>
      <c r="F549" s="6" t="s">
        <v>30</v>
      </c>
      <c r="G549" s="6" t="s">
        <v>31</v>
      </c>
      <c r="H549" s="6" t="s">
        <v>23</v>
      </c>
      <c r="I549" s="7" t="n">
        <v>8.5</v>
      </c>
      <c r="J549" s="7" t="n">
        <v>21</v>
      </c>
      <c r="K549" s="6" t="s">
        <v>25</v>
      </c>
      <c r="L549" s="6" t="n">
        <v>185</v>
      </c>
      <c r="M549" s="7" t="n">
        <f aca="false">L549*J549</f>
        <v>3885</v>
      </c>
      <c r="N549" s="7" t="n">
        <f aca="false">L549*I549</f>
        <v>1572.5</v>
      </c>
      <c r="O549" s="7" t="n">
        <f aca="false">M549-N549</f>
        <v>2312.5</v>
      </c>
      <c r="P549" s="8" t="n">
        <f aca="false">IFERROR(O549/M549,0)</f>
        <v>0.595238095238095</v>
      </c>
    </row>
    <row r="550" customFormat="false" ht="15" hidden="false" customHeight="true" outlineLevel="0" collapsed="false">
      <c r="A550" s="3" t="s">
        <v>78</v>
      </c>
      <c r="B550" s="3" t="s">
        <v>79</v>
      </c>
      <c r="C550" s="3" t="s">
        <v>18</v>
      </c>
      <c r="D550" s="3" t="s">
        <v>19</v>
      </c>
      <c r="E550" s="3" t="s">
        <v>61</v>
      </c>
      <c r="F550" s="3" t="s">
        <v>30</v>
      </c>
      <c r="G550" s="3" t="s">
        <v>31</v>
      </c>
      <c r="H550" s="3" t="s">
        <v>23</v>
      </c>
      <c r="I550" s="4" t="n">
        <v>8.5</v>
      </c>
      <c r="J550" s="4" t="n">
        <v>21</v>
      </c>
      <c r="K550" s="3" t="s">
        <v>26</v>
      </c>
      <c r="L550" s="3" t="n">
        <v>287</v>
      </c>
      <c r="M550" s="4" t="n">
        <f aca="false">L550*J550</f>
        <v>6027</v>
      </c>
      <c r="N550" s="4" t="n">
        <f aca="false">L550*I550</f>
        <v>2439.5</v>
      </c>
      <c r="O550" s="4" t="n">
        <f aca="false">M550-N550</f>
        <v>3587.5</v>
      </c>
      <c r="P550" s="5" t="n">
        <f aca="false">IFERROR(O550/M550,0)</f>
        <v>0.595238095238095</v>
      </c>
    </row>
    <row r="551" customFormat="false" ht="15" hidden="false" customHeight="true" outlineLevel="0" collapsed="false">
      <c r="A551" s="6" t="s">
        <v>78</v>
      </c>
      <c r="B551" s="6" t="s">
        <v>79</v>
      </c>
      <c r="C551" s="6" t="s">
        <v>18</v>
      </c>
      <c r="D551" s="6" t="s">
        <v>19</v>
      </c>
      <c r="E551" s="6" t="s">
        <v>61</v>
      </c>
      <c r="F551" s="6" t="s">
        <v>30</v>
      </c>
      <c r="G551" s="6" t="s">
        <v>31</v>
      </c>
      <c r="H551" s="6" t="s">
        <v>23</v>
      </c>
      <c r="I551" s="7" t="n">
        <v>8.5</v>
      </c>
      <c r="J551" s="7" t="n">
        <v>21</v>
      </c>
      <c r="K551" s="6" t="s">
        <v>27</v>
      </c>
      <c r="L551" s="6" t="n">
        <v>104</v>
      </c>
      <c r="M551" s="7" t="n">
        <f aca="false">L551*J551</f>
        <v>2184</v>
      </c>
      <c r="N551" s="7" t="n">
        <f aca="false">L551*I551</f>
        <v>884</v>
      </c>
      <c r="O551" s="7" t="n">
        <f aca="false">M551-N551</f>
        <v>1300</v>
      </c>
      <c r="P551" s="8" t="n">
        <f aca="false">IFERROR(O551/M551,0)</f>
        <v>0.595238095238095</v>
      </c>
    </row>
    <row r="552" customFormat="false" ht="15" hidden="false" customHeight="true" outlineLevel="0" collapsed="false">
      <c r="A552" s="3" t="s">
        <v>78</v>
      </c>
      <c r="B552" s="3" t="s">
        <v>79</v>
      </c>
      <c r="C552" s="3" t="s">
        <v>18</v>
      </c>
      <c r="D552" s="3" t="s">
        <v>19</v>
      </c>
      <c r="E552" s="3" t="s">
        <v>61</v>
      </c>
      <c r="F552" s="3" t="s">
        <v>30</v>
      </c>
      <c r="G552" s="3" t="s">
        <v>31</v>
      </c>
      <c r="H552" s="3" t="s">
        <v>23</v>
      </c>
      <c r="I552" s="4" t="n">
        <v>8.5</v>
      </c>
      <c r="J552" s="4" t="n">
        <v>21</v>
      </c>
      <c r="K552" s="3" t="s">
        <v>28</v>
      </c>
      <c r="L552" s="3" t="n">
        <v>286</v>
      </c>
      <c r="M552" s="4" t="n">
        <f aca="false">L552*J552</f>
        <v>6006</v>
      </c>
      <c r="N552" s="4" t="n">
        <f aca="false">L552*I552</f>
        <v>2431</v>
      </c>
      <c r="O552" s="4" t="n">
        <f aca="false">M552-N552</f>
        <v>3575</v>
      </c>
      <c r="P552" s="5" t="n">
        <f aca="false">IFERROR(O552/M552,0)</f>
        <v>0.595238095238095</v>
      </c>
    </row>
    <row r="553" customFormat="false" ht="15" hidden="false" customHeight="true" outlineLevel="0" collapsed="false">
      <c r="A553" s="6" t="s">
        <v>78</v>
      </c>
      <c r="B553" s="6" t="s">
        <v>79</v>
      </c>
      <c r="C553" s="6" t="s">
        <v>18</v>
      </c>
      <c r="D553" s="6" t="s">
        <v>19</v>
      </c>
      <c r="E553" s="6" t="s">
        <v>61</v>
      </c>
      <c r="F553" s="6" t="s">
        <v>30</v>
      </c>
      <c r="G553" s="6" t="s">
        <v>31</v>
      </c>
      <c r="H553" s="6" t="s">
        <v>23</v>
      </c>
      <c r="I553" s="7" t="n">
        <v>8.5</v>
      </c>
      <c r="J553" s="7" t="n">
        <v>21</v>
      </c>
      <c r="K553" s="6" t="s">
        <v>29</v>
      </c>
      <c r="L553" s="6" t="n">
        <v>274</v>
      </c>
      <c r="M553" s="7" t="n">
        <f aca="false">L553*J553</f>
        <v>5754</v>
      </c>
      <c r="N553" s="7" t="n">
        <f aca="false">L553*I553</f>
        <v>2329</v>
      </c>
      <c r="O553" s="7" t="n">
        <f aca="false">M553-N553</f>
        <v>3425</v>
      </c>
      <c r="P553" s="8" t="n">
        <f aca="false">IFERROR(O553/M553,0)</f>
        <v>0.595238095238095</v>
      </c>
    </row>
    <row r="554" customFormat="false" ht="15" hidden="false" customHeight="true" outlineLevel="0" collapsed="false">
      <c r="A554" s="3" t="s">
        <v>78</v>
      </c>
      <c r="B554" s="3" t="s">
        <v>79</v>
      </c>
      <c r="C554" s="3" t="s">
        <v>18</v>
      </c>
      <c r="D554" s="3" t="s">
        <v>19</v>
      </c>
      <c r="E554" s="3" t="s">
        <v>61</v>
      </c>
      <c r="F554" s="3" t="s">
        <v>32</v>
      </c>
      <c r="G554" s="3" t="s">
        <v>33</v>
      </c>
      <c r="H554" s="3" t="s">
        <v>23</v>
      </c>
      <c r="I554" s="4" t="n">
        <v>2.5</v>
      </c>
      <c r="J554" s="4" t="n">
        <v>4.5</v>
      </c>
      <c r="K554" s="3" t="s">
        <v>24</v>
      </c>
      <c r="L554" s="3" t="n">
        <v>222</v>
      </c>
      <c r="M554" s="4" t="n">
        <f aca="false">L554*J554</f>
        <v>999</v>
      </c>
      <c r="N554" s="4" t="n">
        <f aca="false">L554*I554</f>
        <v>555</v>
      </c>
      <c r="O554" s="4" t="n">
        <f aca="false">M554-N554</f>
        <v>444</v>
      </c>
      <c r="P554" s="5" t="n">
        <f aca="false">IFERROR(O554/M554,0)</f>
        <v>0.444444444444444</v>
      </c>
    </row>
    <row r="555" customFormat="false" ht="15" hidden="false" customHeight="true" outlineLevel="0" collapsed="false">
      <c r="A555" s="6" t="s">
        <v>78</v>
      </c>
      <c r="B555" s="6" t="s">
        <v>79</v>
      </c>
      <c r="C555" s="6" t="s">
        <v>18</v>
      </c>
      <c r="D555" s="6" t="s">
        <v>19</v>
      </c>
      <c r="E555" s="6" t="s">
        <v>61</v>
      </c>
      <c r="F555" s="6" t="s">
        <v>32</v>
      </c>
      <c r="G555" s="6" t="s">
        <v>33</v>
      </c>
      <c r="H555" s="6" t="s">
        <v>23</v>
      </c>
      <c r="I555" s="7" t="n">
        <v>2.5</v>
      </c>
      <c r="J555" s="7" t="n">
        <v>4.5</v>
      </c>
      <c r="K555" s="6" t="s">
        <v>25</v>
      </c>
      <c r="L555" s="6" t="n">
        <v>163</v>
      </c>
      <c r="M555" s="7" t="n">
        <f aca="false">L555*J555</f>
        <v>733.5</v>
      </c>
      <c r="N555" s="7" t="n">
        <f aca="false">L555*I555</f>
        <v>407.5</v>
      </c>
      <c r="O555" s="7" t="n">
        <f aca="false">M555-N555</f>
        <v>326</v>
      </c>
      <c r="P555" s="8" t="n">
        <f aca="false">IFERROR(O555/M555,0)</f>
        <v>0.444444444444444</v>
      </c>
    </row>
    <row r="556" customFormat="false" ht="15" hidden="false" customHeight="true" outlineLevel="0" collapsed="false">
      <c r="A556" s="3" t="s">
        <v>78</v>
      </c>
      <c r="B556" s="3" t="s">
        <v>79</v>
      </c>
      <c r="C556" s="3" t="s">
        <v>18</v>
      </c>
      <c r="D556" s="3" t="s">
        <v>19</v>
      </c>
      <c r="E556" s="3" t="s">
        <v>61</v>
      </c>
      <c r="F556" s="3" t="s">
        <v>32</v>
      </c>
      <c r="G556" s="3" t="s">
        <v>33</v>
      </c>
      <c r="H556" s="3" t="s">
        <v>23</v>
      </c>
      <c r="I556" s="4" t="n">
        <v>2.5</v>
      </c>
      <c r="J556" s="4" t="n">
        <v>4.5</v>
      </c>
      <c r="K556" s="3" t="s">
        <v>26</v>
      </c>
      <c r="L556" s="3" t="n">
        <v>106</v>
      </c>
      <c r="M556" s="4" t="n">
        <f aca="false">L556*J556</f>
        <v>477</v>
      </c>
      <c r="N556" s="4" t="n">
        <f aca="false">L556*I556</f>
        <v>265</v>
      </c>
      <c r="O556" s="4" t="n">
        <f aca="false">M556-N556</f>
        <v>212</v>
      </c>
      <c r="P556" s="5" t="n">
        <f aca="false">IFERROR(O556/M556,0)</f>
        <v>0.444444444444444</v>
      </c>
    </row>
    <row r="557" customFormat="false" ht="15" hidden="false" customHeight="true" outlineLevel="0" collapsed="false">
      <c r="A557" s="6" t="s">
        <v>78</v>
      </c>
      <c r="B557" s="6" t="s">
        <v>79</v>
      </c>
      <c r="C557" s="6" t="s">
        <v>18</v>
      </c>
      <c r="D557" s="6" t="s">
        <v>19</v>
      </c>
      <c r="E557" s="6" t="s">
        <v>61</v>
      </c>
      <c r="F557" s="6" t="s">
        <v>32</v>
      </c>
      <c r="G557" s="6" t="s">
        <v>33</v>
      </c>
      <c r="H557" s="6" t="s">
        <v>23</v>
      </c>
      <c r="I557" s="7" t="n">
        <v>2.5</v>
      </c>
      <c r="J557" s="7" t="n">
        <v>4.5</v>
      </c>
      <c r="K557" s="6" t="s">
        <v>27</v>
      </c>
      <c r="L557" s="6" t="n">
        <v>226</v>
      </c>
      <c r="M557" s="7" t="n">
        <f aca="false">L557*J557</f>
        <v>1017</v>
      </c>
      <c r="N557" s="7" t="n">
        <f aca="false">L557*I557</f>
        <v>565</v>
      </c>
      <c r="O557" s="7" t="n">
        <f aca="false">M557-N557</f>
        <v>452</v>
      </c>
      <c r="P557" s="8" t="n">
        <f aca="false">IFERROR(O557/M557,0)</f>
        <v>0.444444444444444</v>
      </c>
    </row>
    <row r="558" customFormat="false" ht="15" hidden="false" customHeight="true" outlineLevel="0" collapsed="false">
      <c r="A558" s="3" t="s">
        <v>78</v>
      </c>
      <c r="B558" s="3" t="s">
        <v>79</v>
      </c>
      <c r="C558" s="3" t="s">
        <v>18</v>
      </c>
      <c r="D558" s="3" t="s">
        <v>19</v>
      </c>
      <c r="E558" s="3" t="s">
        <v>61</v>
      </c>
      <c r="F558" s="3" t="s">
        <v>32</v>
      </c>
      <c r="G558" s="3" t="s">
        <v>33</v>
      </c>
      <c r="H558" s="3" t="s">
        <v>23</v>
      </c>
      <c r="I558" s="4" t="n">
        <v>2.5</v>
      </c>
      <c r="J558" s="4" t="n">
        <v>4.5</v>
      </c>
      <c r="K558" s="3" t="s">
        <v>28</v>
      </c>
      <c r="L558" s="3" t="n">
        <v>280</v>
      </c>
      <c r="M558" s="4" t="n">
        <f aca="false">L558*J558</f>
        <v>1260</v>
      </c>
      <c r="N558" s="4" t="n">
        <f aca="false">L558*I558</f>
        <v>700</v>
      </c>
      <c r="O558" s="4" t="n">
        <f aca="false">M558-N558</f>
        <v>560</v>
      </c>
      <c r="P558" s="5" t="n">
        <f aca="false">IFERROR(O558/M558,0)</f>
        <v>0.444444444444444</v>
      </c>
    </row>
    <row r="559" customFormat="false" ht="15" hidden="false" customHeight="true" outlineLevel="0" collapsed="false">
      <c r="A559" s="6" t="s">
        <v>78</v>
      </c>
      <c r="B559" s="6" t="s">
        <v>79</v>
      </c>
      <c r="C559" s="6" t="s">
        <v>18</v>
      </c>
      <c r="D559" s="6" t="s">
        <v>19</v>
      </c>
      <c r="E559" s="6" t="s">
        <v>61</v>
      </c>
      <c r="F559" s="6" t="s">
        <v>32</v>
      </c>
      <c r="G559" s="6" t="s">
        <v>33</v>
      </c>
      <c r="H559" s="6" t="s">
        <v>23</v>
      </c>
      <c r="I559" s="7" t="n">
        <v>2.5</v>
      </c>
      <c r="J559" s="7" t="n">
        <v>4.5</v>
      </c>
      <c r="K559" s="6" t="s">
        <v>29</v>
      </c>
      <c r="L559" s="6" t="n">
        <v>279</v>
      </c>
      <c r="M559" s="7" t="n">
        <f aca="false">L559*J559</f>
        <v>1255.5</v>
      </c>
      <c r="N559" s="7" t="n">
        <f aca="false">L559*I559</f>
        <v>697.5</v>
      </c>
      <c r="O559" s="7" t="n">
        <f aca="false">M559-N559</f>
        <v>558</v>
      </c>
      <c r="P559" s="8" t="n">
        <f aca="false">IFERROR(O559/M559,0)</f>
        <v>0.444444444444444</v>
      </c>
    </row>
    <row r="560" customFormat="false" ht="15" hidden="false" customHeight="true" outlineLevel="0" collapsed="false">
      <c r="A560" s="3" t="s">
        <v>78</v>
      </c>
      <c r="B560" s="3" t="s">
        <v>79</v>
      </c>
      <c r="C560" s="3" t="s">
        <v>18</v>
      </c>
      <c r="D560" s="3" t="s">
        <v>19</v>
      </c>
      <c r="E560" s="3" t="s">
        <v>61</v>
      </c>
      <c r="F560" s="3" t="s">
        <v>34</v>
      </c>
      <c r="G560" s="3" t="s">
        <v>35</v>
      </c>
      <c r="H560" s="3" t="s">
        <v>23</v>
      </c>
      <c r="I560" s="4" t="n">
        <v>6</v>
      </c>
      <c r="J560" s="4" t="n">
        <v>12.5</v>
      </c>
      <c r="K560" s="3" t="s">
        <v>24</v>
      </c>
      <c r="L560" s="3" t="n">
        <v>154</v>
      </c>
      <c r="M560" s="4" t="n">
        <f aca="false">L560*J560</f>
        <v>1925</v>
      </c>
      <c r="N560" s="4" t="n">
        <f aca="false">L560*I560</f>
        <v>924</v>
      </c>
      <c r="O560" s="4" t="n">
        <f aca="false">M560-N560</f>
        <v>1001</v>
      </c>
      <c r="P560" s="5" t="n">
        <f aca="false">IFERROR(O560/M560,0)</f>
        <v>0.52</v>
      </c>
    </row>
    <row r="561" customFormat="false" ht="15" hidden="false" customHeight="true" outlineLevel="0" collapsed="false">
      <c r="A561" s="6" t="s">
        <v>78</v>
      </c>
      <c r="B561" s="6" t="s">
        <v>79</v>
      </c>
      <c r="C561" s="6" t="s">
        <v>18</v>
      </c>
      <c r="D561" s="6" t="s">
        <v>19</v>
      </c>
      <c r="E561" s="6" t="s">
        <v>61</v>
      </c>
      <c r="F561" s="6" t="s">
        <v>34</v>
      </c>
      <c r="G561" s="6" t="s">
        <v>35</v>
      </c>
      <c r="H561" s="6" t="s">
        <v>23</v>
      </c>
      <c r="I561" s="7" t="n">
        <v>6</v>
      </c>
      <c r="J561" s="7" t="n">
        <v>12.5</v>
      </c>
      <c r="K561" s="6" t="s">
        <v>25</v>
      </c>
      <c r="L561" s="6" t="n">
        <v>48</v>
      </c>
      <c r="M561" s="7" t="n">
        <f aca="false">L561*J561</f>
        <v>600</v>
      </c>
      <c r="N561" s="7" t="n">
        <f aca="false">L561*I561</f>
        <v>288</v>
      </c>
      <c r="O561" s="7" t="n">
        <f aca="false">M561-N561</f>
        <v>312</v>
      </c>
      <c r="P561" s="8" t="n">
        <f aca="false">IFERROR(O561/M561,0)</f>
        <v>0.52</v>
      </c>
    </row>
    <row r="562" customFormat="false" ht="15" hidden="false" customHeight="true" outlineLevel="0" collapsed="false">
      <c r="A562" s="3" t="s">
        <v>78</v>
      </c>
      <c r="B562" s="3" t="s">
        <v>79</v>
      </c>
      <c r="C562" s="3" t="s">
        <v>18</v>
      </c>
      <c r="D562" s="3" t="s">
        <v>19</v>
      </c>
      <c r="E562" s="3" t="s">
        <v>61</v>
      </c>
      <c r="F562" s="3" t="s">
        <v>34</v>
      </c>
      <c r="G562" s="3" t="s">
        <v>35</v>
      </c>
      <c r="H562" s="3" t="s">
        <v>23</v>
      </c>
      <c r="I562" s="4" t="n">
        <v>6</v>
      </c>
      <c r="J562" s="4" t="n">
        <v>12.5</v>
      </c>
      <c r="K562" s="3" t="s">
        <v>26</v>
      </c>
      <c r="L562" s="3" t="n">
        <v>225</v>
      </c>
      <c r="M562" s="4" t="n">
        <f aca="false">L562*J562</f>
        <v>2812.5</v>
      </c>
      <c r="N562" s="4" t="n">
        <f aca="false">L562*I562</f>
        <v>1350</v>
      </c>
      <c r="O562" s="4" t="n">
        <f aca="false">M562-N562</f>
        <v>1462.5</v>
      </c>
      <c r="P562" s="5" t="n">
        <f aca="false">IFERROR(O562/M562,0)</f>
        <v>0.52</v>
      </c>
    </row>
    <row r="563" customFormat="false" ht="15" hidden="false" customHeight="true" outlineLevel="0" collapsed="false">
      <c r="A563" s="6" t="s">
        <v>78</v>
      </c>
      <c r="B563" s="6" t="s">
        <v>79</v>
      </c>
      <c r="C563" s="6" t="s">
        <v>18</v>
      </c>
      <c r="D563" s="6" t="s">
        <v>19</v>
      </c>
      <c r="E563" s="6" t="s">
        <v>61</v>
      </c>
      <c r="F563" s="6" t="s">
        <v>34</v>
      </c>
      <c r="G563" s="6" t="s">
        <v>35</v>
      </c>
      <c r="H563" s="6" t="s">
        <v>23</v>
      </c>
      <c r="I563" s="7" t="n">
        <v>6</v>
      </c>
      <c r="J563" s="7" t="n">
        <v>12.5</v>
      </c>
      <c r="K563" s="6" t="s">
        <v>27</v>
      </c>
      <c r="L563" s="6" t="n">
        <v>160</v>
      </c>
      <c r="M563" s="7" t="n">
        <f aca="false">L563*J563</f>
        <v>2000</v>
      </c>
      <c r="N563" s="7" t="n">
        <f aca="false">L563*I563</f>
        <v>960</v>
      </c>
      <c r="O563" s="7" t="n">
        <f aca="false">M563-N563</f>
        <v>1040</v>
      </c>
      <c r="P563" s="8" t="n">
        <f aca="false">IFERROR(O563/M563,0)</f>
        <v>0.52</v>
      </c>
    </row>
    <row r="564" customFormat="false" ht="15" hidden="false" customHeight="true" outlineLevel="0" collapsed="false">
      <c r="A564" s="3" t="s">
        <v>78</v>
      </c>
      <c r="B564" s="3" t="s">
        <v>79</v>
      </c>
      <c r="C564" s="3" t="s">
        <v>18</v>
      </c>
      <c r="D564" s="3" t="s">
        <v>19</v>
      </c>
      <c r="E564" s="3" t="s">
        <v>61</v>
      </c>
      <c r="F564" s="3" t="s">
        <v>34</v>
      </c>
      <c r="G564" s="3" t="s">
        <v>35</v>
      </c>
      <c r="H564" s="3" t="s">
        <v>23</v>
      </c>
      <c r="I564" s="4" t="n">
        <v>6</v>
      </c>
      <c r="J564" s="4" t="n">
        <v>12.5</v>
      </c>
      <c r="K564" s="3" t="s">
        <v>28</v>
      </c>
      <c r="L564" s="3" t="n">
        <v>84</v>
      </c>
      <c r="M564" s="4" t="n">
        <f aca="false">L564*J564</f>
        <v>1050</v>
      </c>
      <c r="N564" s="4" t="n">
        <f aca="false">L564*I564</f>
        <v>504</v>
      </c>
      <c r="O564" s="4" t="n">
        <f aca="false">M564-N564</f>
        <v>546</v>
      </c>
      <c r="P564" s="5" t="n">
        <f aca="false">IFERROR(O564/M564,0)</f>
        <v>0.52</v>
      </c>
    </row>
    <row r="565" customFormat="false" ht="15" hidden="false" customHeight="true" outlineLevel="0" collapsed="false">
      <c r="A565" s="6" t="s">
        <v>78</v>
      </c>
      <c r="B565" s="6" t="s">
        <v>79</v>
      </c>
      <c r="C565" s="6" t="s">
        <v>18</v>
      </c>
      <c r="D565" s="6" t="s">
        <v>19</v>
      </c>
      <c r="E565" s="6" t="s">
        <v>61</v>
      </c>
      <c r="F565" s="6" t="s">
        <v>34</v>
      </c>
      <c r="G565" s="6" t="s">
        <v>35</v>
      </c>
      <c r="H565" s="6" t="s">
        <v>23</v>
      </c>
      <c r="I565" s="7" t="n">
        <v>6</v>
      </c>
      <c r="J565" s="7" t="n">
        <v>12.5</v>
      </c>
      <c r="K565" s="6" t="s">
        <v>29</v>
      </c>
      <c r="L565" s="6" t="n">
        <v>346</v>
      </c>
      <c r="M565" s="7" t="n">
        <f aca="false">L565*J565</f>
        <v>4325</v>
      </c>
      <c r="N565" s="7" t="n">
        <f aca="false">L565*I565</f>
        <v>2076</v>
      </c>
      <c r="O565" s="7" t="n">
        <f aca="false">M565-N565</f>
        <v>2249</v>
      </c>
      <c r="P565" s="8" t="n">
        <f aca="false">IFERROR(O565/M565,0)</f>
        <v>0.52</v>
      </c>
    </row>
    <row r="566" customFormat="false" ht="15" hidden="false" customHeight="true" outlineLevel="0" collapsed="false">
      <c r="A566" s="3" t="s">
        <v>78</v>
      </c>
      <c r="B566" s="3" t="s">
        <v>79</v>
      </c>
      <c r="C566" s="3" t="s">
        <v>18</v>
      </c>
      <c r="D566" s="3" t="s">
        <v>19</v>
      </c>
      <c r="E566" s="3" t="s">
        <v>61</v>
      </c>
      <c r="F566" s="3" t="s">
        <v>36</v>
      </c>
      <c r="G566" s="3" t="s">
        <v>37</v>
      </c>
      <c r="H566" s="3" t="s">
        <v>23</v>
      </c>
      <c r="I566" s="4" t="n">
        <v>4.5</v>
      </c>
      <c r="J566" s="4" t="n">
        <v>7</v>
      </c>
      <c r="K566" s="3" t="s">
        <v>24</v>
      </c>
      <c r="L566" s="3" t="n">
        <v>232</v>
      </c>
      <c r="M566" s="4" t="n">
        <f aca="false">L566*J566</f>
        <v>1624</v>
      </c>
      <c r="N566" s="4" t="n">
        <f aca="false">L566*I566</f>
        <v>1044</v>
      </c>
      <c r="O566" s="4" t="n">
        <f aca="false">M566-N566</f>
        <v>580</v>
      </c>
      <c r="P566" s="5" t="n">
        <f aca="false">IFERROR(O566/M566,0)</f>
        <v>0.357142857142857</v>
      </c>
    </row>
    <row r="567" customFormat="false" ht="15" hidden="false" customHeight="true" outlineLevel="0" collapsed="false">
      <c r="A567" s="6" t="s">
        <v>78</v>
      </c>
      <c r="B567" s="6" t="s">
        <v>79</v>
      </c>
      <c r="C567" s="6" t="s">
        <v>18</v>
      </c>
      <c r="D567" s="6" t="s">
        <v>19</v>
      </c>
      <c r="E567" s="6" t="s">
        <v>61</v>
      </c>
      <c r="F567" s="6" t="s">
        <v>36</v>
      </c>
      <c r="G567" s="6" t="s">
        <v>37</v>
      </c>
      <c r="H567" s="6" t="s">
        <v>23</v>
      </c>
      <c r="I567" s="7" t="n">
        <v>4.5</v>
      </c>
      <c r="J567" s="7" t="n">
        <v>7</v>
      </c>
      <c r="K567" s="6" t="s">
        <v>25</v>
      </c>
      <c r="L567" s="6" t="n">
        <v>86</v>
      </c>
      <c r="M567" s="7" t="n">
        <f aca="false">L567*J567</f>
        <v>602</v>
      </c>
      <c r="N567" s="7" t="n">
        <f aca="false">L567*I567</f>
        <v>387</v>
      </c>
      <c r="O567" s="7" t="n">
        <f aca="false">M567-N567</f>
        <v>215</v>
      </c>
      <c r="P567" s="8" t="n">
        <f aca="false">IFERROR(O567/M567,0)</f>
        <v>0.357142857142857</v>
      </c>
    </row>
    <row r="568" customFormat="false" ht="15" hidden="false" customHeight="true" outlineLevel="0" collapsed="false">
      <c r="A568" s="3" t="s">
        <v>78</v>
      </c>
      <c r="B568" s="3" t="s">
        <v>79</v>
      </c>
      <c r="C568" s="3" t="s">
        <v>18</v>
      </c>
      <c r="D568" s="3" t="s">
        <v>19</v>
      </c>
      <c r="E568" s="3" t="s">
        <v>61</v>
      </c>
      <c r="F568" s="3" t="s">
        <v>36</v>
      </c>
      <c r="G568" s="3" t="s">
        <v>37</v>
      </c>
      <c r="H568" s="3" t="s">
        <v>23</v>
      </c>
      <c r="I568" s="4" t="n">
        <v>4.5</v>
      </c>
      <c r="J568" s="4" t="n">
        <v>7</v>
      </c>
      <c r="K568" s="3" t="s">
        <v>26</v>
      </c>
      <c r="L568" s="3" t="n">
        <v>52</v>
      </c>
      <c r="M568" s="4" t="n">
        <f aca="false">L568*J568</f>
        <v>364</v>
      </c>
      <c r="N568" s="4" t="n">
        <f aca="false">L568*I568</f>
        <v>234</v>
      </c>
      <c r="O568" s="4" t="n">
        <f aca="false">M568-N568</f>
        <v>130</v>
      </c>
      <c r="P568" s="5" t="n">
        <f aca="false">IFERROR(O568/M568,0)</f>
        <v>0.357142857142857</v>
      </c>
    </row>
    <row r="569" customFormat="false" ht="15" hidden="false" customHeight="true" outlineLevel="0" collapsed="false">
      <c r="A569" s="6" t="s">
        <v>78</v>
      </c>
      <c r="B569" s="6" t="s">
        <v>79</v>
      </c>
      <c r="C569" s="6" t="s">
        <v>18</v>
      </c>
      <c r="D569" s="6" t="s">
        <v>19</v>
      </c>
      <c r="E569" s="6" t="s">
        <v>61</v>
      </c>
      <c r="F569" s="6" t="s">
        <v>36</v>
      </c>
      <c r="G569" s="6" t="s">
        <v>37</v>
      </c>
      <c r="H569" s="6" t="s">
        <v>23</v>
      </c>
      <c r="I569" s="7" t="n">
        <v>4.5</v>
      </c>
      <c r="J569" s="7" t="n">
        <v>7</v>
      </c>
      <c r="K569" s="6" t="s">
        <v>27</v>
      </c>
      <c r="L569" s="6" t="n">
        <v>289</v>
      </c>
      <c r="M569" s="7" t="n">
        <f aca="false">L569*J569</f>
        <v>2023</v>
      </c>
      <c r="N569" s="7" t="n">
        <f aca="false">L569*I569</f>
        <v>1300.5</v>
      </c>
      <c r="O569" s="7" t="n">
        <f aca="false">M569-N569</f>
        <v>722.5</v>
      </c>
      <c r="P569" s="8" t="n">
        <f aca="false">IFERROR(O569/M569,0)</f>
        <v>0.357142857142857</v>
      </c>
    </row>
    <row r="570" customFormat="false" ht="15" hidden="false" customHeight="true" outlineLevel="0" collapsed="false">
      <c r="A570" s="3" t="s">
        <v>78</v>
      </c>
      <c r="B570" s="3" t="s">
        <v>79</v>
      </c>
      <c r="C570" s="3" t="s">
        <v>18</v>
      </c>
      <c r="D570" s="3" t="s">
        <v>19</v>
      </c>
      <c r="E570" s="3" t="s">
        <v>61</v>
      </c>
      <c r="F570" s="3" t="s">
        <v>36</v>
      </c>
      <c r="G570" s="3" t="s">
        <v>37</v>
      </c>
      <c r="H570" s="3" t="s">
        <v>23</v>
      </c>
      <c r="I570" s="4" t="n">
        <v>4.5</v>
      </c>
      <c r="J570" s="4" t="n">
        <v>7</v>
      </c>
      <c r="K570" s="3" t="s">
        <v>28</v>
      </c>
      <c r="L570" s="3" t="n">
        <v>91</v>
      </c>
      <c r="M570" s="4" t="n">
        <f aca="false">L570*J570</f>
        <v>637</v>
      </c>
      <c r="N570" s="4" t="n">
        <f aca="false">L570*I570</f>
        <v>409.5</v>
      </c>
      <c r="O570" s="4" t="n">
        <f aca="false">M570-N570</f>
        <v>227.5</v>
      </c>
      <c r="P570" s="5" t="n">
        <f aca="false">IFERROR(O570/M570,0)</f>
        <v>0.357142857142857</v>
      </c>
    </row>
    <row r="571" customFormat="false" ht="15" hidden="false" customHeight="true" outlineLevel="0" collapsed="false">
      <c r="A571" s="6" t="s">
        <v>78</v>
      </c>
      <c r="B571" s="6" t="s">
        <v>79</v>
      </c>
      <c r="C571" s="6" t="s">
        <v>18</v>
      </c>
      <c r="D571" s="6" t="s">
        <v>19</v>
      </c>
      <c r="E571" s="6" t="s">
        <v>61</v>
      </c>
      <c r="F571" s="6" t="s">
        <v>36</v>
      </c>
      <c r="G571" s="6" t="s">
        <v>37</v>
      </c>
      <c r="H571" s="6" t="s">
        <v>23</v>
      </c>
      <c r="I571" s="7" t="n">
        <v>4.5</v>
      </c>
      <c r="J571" s="7" t="n">
        <v>7</v>
      </c>
      <c r="K571" s="6" t="s">
        <v>29</v>
      </c>
      <c r="L571" s="6" t="n">
        <v>130</v>
      </c>
      <c r="M571" s="7" t="n">
        <f aca="false">L571*J571</f>
        <v>910</v>
      </c>
      <c r="N571" s="7" t="n">
        <f aca="false">L571*I571</f>
        <v>585</v>
      </c>
      <c r="O571" s="7" t="n">
        <f aca="false">M571-N571</f>
        <v>325</v>
      </c>
      <c r="P571" s="8" t="n">
        <f aca="false">IFERROR(O571/M571,0)</f>
        <v>0.357142857142857</v>
      </c>
    </row>
    <row r="572" customFormat="false" ht="15" hidden="false" customHeight="true" outlineLevel="0" collapsed="false">
      <c r="A572" s="3" t="s">
        <v>78</v>
      </c>
      <c r="B572" s="3" t="s">
        <v>79</v>
      </c>
      <c r="C572" s="3" t="s">
        <v>18</v>
      </c>
      <c r="D572" s="3" t="s">
        <v>19</v>
      </c>
      <c r="E572" s="3" t="s">
        <v>61</v>
      </c>
      <c r="F572" s="3" t="s">
        <v>38</v>
      </c>
      <c r="G572" s="3" t="s">
        <v>39</v>
      </c>
      <c r="H572" s="3" t="s">
        <v>23</v>
      </c>
      <c r="I572" s="4" t="n">
        <v>9.9</v>
      </c>
      <c r="J572" s="4" t="n">
        <v>18</v>
      </c>
      <c r="K572" s="3" t="s">
        <v>24</v>
      </c>
      <c r="L572" s="3" t="n">
        <v>263</v>
      </c>
      <c r="M572" s="4" t="n">
        <f aca="false">L572*J572</f>
        <v>4734</v>
      </c>
      <c r="N572" s="4" t="n">
        <f aca="false">L572*I572</f>
        <v>2603.7</v>
      </c>
      <c r="O572" s="4" t="n">
        <f aca="false">M572-N572</f>
        <v>2130.3</v>
      </c>
      <c r="P572" s="5" t="n">
        <f aca="false">IFERROR(O572/M572,0)</f>
        <v>0.45</v>
      </c>
    </row>
    <row r="573" customFormat="false" ht="15" hidden="false" customHeight="true" outlineLevel="0" collapsed="false">
      <c r="A573" s="6" t="s">
        <v>78</v>
      </c>
      <c r="B573" s="6" t="s">
        <v>79</v>
      </c>
      <c r="C573" s="6" t="s">
        <v>18</v>
      </c>
      <c r="D573" s="6" t="s">
        <v>19</v>
      </c>
      <c r="E573" s="6" t="s">
        <v>61</v>
      </c>
      <c r="F573" s="6" t="s">
        <v>38</v>
      </c>
      <c r="G573" s="6" t="s">
        <v>39</v>
      </c>
      <c r="H573" s="6" t="s">
        <v>23</v>
      </c>
      <c r="I573" s="7" t="n">
        <v>9.9</v>
      </c>
      <c r="J573" s="7" t="n">
        <v>18</v>
      </c>
      <c r="K573" s="6" t="s">
        <v>25</v>
      </c>
      <c r="L573" s="6" t="n">
        <v>239</v>
      </c>
      <c r="M573" s="7" t="n">
        <f aca="false">L573*J573</f>
        <v>4302</v>
      </c>
      <c r="N573" s="7" t="n">
        <f aca="false">L573*I573</f>
        <v>2366.1</v>
      </c>
      <c r="O573" s="7" t="n">
        <f aca="false">M573-N573</f>
        <v>1935.9</v>
      </c>
      <c r="P573" s="8" t="n">
        <f aca="false">IFERROR(O573/M573,0)</f>
        <v>0.45</v>
      </c>
    </row>
    <row r="574" customFormat="false" ht="15" hidden="false" customHeight="true" outlineLevel="0" collapsed="false">
      <c r="A574" s="3" t="s">
        <v>78</v>
      </c>
      <c r="B574" s="3" t="s">
        <v>79</v>
      </c>
      <c r="C574" s="3" t="s">
        <v>18</v>
      </c>
      <c r="D574" s="3" t="s">
        <v>19</v>
      </c>
      <c r="E574" s="3" t="s">
        <v>61</v>
      </c>
      <c r="F574" s="3" t="s">
        <v>38</v>
      </c>
      <c r="G574" s="3" t="s">
        <v>39</v>
      </c>
      <c r="H574" s="3" t="s">
        <v>23</v>
      </c>
      <c r="I574" s="4" t="n">
        <v>9.9</v>
      </c>
      <c r="J574" s="4" t="n">
        <v>18</v>
      </c>
      <c r="K574" s="3" t="s">
        <v>26</v>
      </c>
      <c r="L574" s="3" t="n">
        <v>122</v>
      </c>
      <c r="M574" s="4" t="n">
        <f aca="false">L574*J574</f>
        <v>2196</v>
      </c>
      <c r="N574" s="4" t="n">
        <f aca="false">L574*I574</f>
        <v>1207.8</v>
      </c>
      <c r="O574" s="4" t="n">
        <f aca="false">M574-N574</f>
        <v>988.2</v>
      </c>
      <c r="P574" s="5" t="n">
        <f aca="false">IFERROR(O574/M574,0)</f>
        <v>0.45</v>
      </c>
    </row>
    <row r="575" customFormat="false" ht="15" hidden="false" customHeight="true" outlineLevel="0" collapsed="false">
      <c r="A575" s="6" t="s">
        <v>78</v>
      </c>
      <c r="B575" s="6" t="s">
        <v>79</v>
      </c>
      <c r="C575" s="6" t="s">
        <v>18</v>
      </c>
      <c r="D575" s="6" t="s">
        <v>19</v>
      </c>
      <c r="E575" s="6" t="s">
        <v>61</v>
      </c>
      <c r="F575" s="6" t="s">
        <v>38</v>
      </c>
      <c r="G575" s="6" t="s">
        <v>39</v>
      </c>
      <c r="H575" s="6" t="s">
        <v>23</v>
      </c>
      <c r="I575" s="7" t="n">
        <v>9.9</v>
      </c>
      <c r="J575" s="7" t="n">
        <v>18</v>
      </c>
      <c r="K575" s="6" t="s">
        <v>27</v>
      </c>
      <c r="L575" s="6" t="n">
        <v>89</v>
      </c>
      <c r="M575" s="7" t="n">
        <f aca="false">L575*J575</f>
        <v>1602</v>
      </c>
      <c r="N575" s="7" t="n">
        <f aca="false">L575*I575</f>
        <v>881.1</v>
      </c>
      <c r="O575" s="7" t="n">
        <f aca="false">M575-N575</f>
        <v>720.9</v>
      </c>
      <c r="P575" s="8" t="n">
        <f aca="false">IFERROR(O575/M575,0)</f>
        <v>0.45</v>
      </c>
    </row>
    <row r="576" customFormat="false" ht="15" hidden="false" customHeight="true" outlineLevel="0" collapsed="false">
      <c r="A576" s="3" t="s">
        <v>78</v>
      </c>
      <c r="B576" s="3" t="s">
        <v>79</v>
      </c>
      <c r="C576" s="3" t="s">
        <v>18</v>
      </c>
      <c r="D576" s="3" t="s">
        <v>19</v>
      </c>
      <c r="E576" s="3" t="s">
        <v>61</v>
      </c>
      <c r="F576" s="3" t="s">
        <v>38</v>
      </c>
      <c r="G576" s="3" t="s">
        <v>39</v>
      </c>
      <c r="H576" s="3" t="s">
        <v>23</v>
      </c>
      <c r="I576" s="4" t="n">
        <v>9.9</v>
      </c>
      <c r="J576" s="4" t="n">
        <v>18</v>
      </c>
      <c r="K576" s="3" t="s">
        <v>28</v>
      </c>
      <c r="L576" s="3" t="n">
        <v>283</v>
      </c>
      <c r="M576" s="4" t="n">
        <f aca="false">L576*J576</f>
        <v>5094</v>
      </c>
      <c r="N576" s="4" t="n">
        <f aca="false">L576*I576</f>
        <v>2801.7</v>
      </c>
      <c r="O576" s="4" t="n">
        <f aca="false">M576-N576</f>
        <v>2292.3</v>
      </c>
      <c r="P576" s="5" t="n">
        <f aca="false">IFERROR(O576/M576,0)</f>
        <v>0.45</v>
      </c>
    </row>
    <row r="577" customFormat="false" ht="15" hidden="false" customHeight="true" outlineLevel="0" collapsed="false">
      <c r="A577" s="6" t="s">
        <v>78</v>
      </c>
      <c r="B577" s="6" t="s">
        <v>79</v>
      </c>
      <c r="C577" s="6" t="s">
        <v>18</v>
      </c>
      <c r="D577" s="6" t="s">
        <v>19</v>
      </c>
      <c r="E577" s="6" t="s">
        <v>61</v>
      </c>
      <c r="F577" s="6" t="s">
        <v>38</v>
      </c>
      <c r="G577" s="6" t="s">
        <v>39</v>
      </c>
      <c r="H577" s="6" t="s">
        <v>23</v>
      </c>
      <c r="I577" s="7" t="n">
        <v>9.9</v>
      </c>
      <c r="J577" s="7" t="n">
        <v>18</v>
      </c>
      <c r="K577" s="6" t="s">
        <v>29</v>
      </c>
      <c r="L577" s="6" t="n">
        <v>60</v>
      </c>
      <c r="M577" s="7" t="n">
        <f aca="false">L577*J577</f>
        <v>1080</v>
      </c>
      <c r="N577" s="7" t="n">
        <f aca="false">L577*I577</f>
        <v>594</v>
      </c>
      <c r="O577" s="7" t="n">
        <f aca="false">M577-N577</f>
        <v>486</v>
      </c>
      <c r="P577" s="8" t="n">
        <f aca="false">IFERROR(O577/M577,0)</f>
        <v>0.45</v>
      </c>
    </row>
    <row r="578" customFormat="false" ht="15" hidden="false" customHeight="true" outlineLevel="0" collapsed="false">
      <c r="A578" s="3" t="s">
        <v>78</v>
      </c>
      <c r="B578" s="3" t="s">
        <v>79</v>
      </c>
      <c r="C578" s="3" t="s">
        <v>18</v>
      </c>
      <c r="D578" s="3" t="s">
        <v>19</v>
      </c>
      <c r="E578" s="3" t="s">
        <v>61</v>
      </c>
      <c r="F578" s="3" t="s">
        <v>40</v>
      </c>
      <c r="G578" s="3" t="s">
        <v>41</v>
      </c>
      <c r="H578" s="3" t="s">
        <v>42</v>
      </c>
      <c r="I578" s="4" t="n">
        <v>3.5</v>
      </c>
      <c r="J578" s="4" t="n">
        <v>6.5</v>
      </c>
      <c r="K578" s="3" t="s">
        <v>24</v>
      </c>
      <c r="L578" s="3" t="n">
        <v>145</v>
      </c>
      <c r="M578" s="4" t="n">
        <f aca="false">L578*J578</f>
        <v>942.5</v>
      </c>
      <c r="N578" s="4" t="n">
        <f aca="false">L578*I578</f>
        <v>507.5</v>
      </c>
      <c r="O578" s="4" t="n">
        <f aca="false">M578-N578</f>
        <v>435</v>
      </c>
      <c r="P578" s="5" t="n">
        <f aca="false">IFERROR(O578/M578,0)</f>
        <v>0.461538461538462</v>
      </c>
    </row>
    <row r="579" customFormat="false" ht="15" hidden="false" customHeight="true" outlineLevel="0" collapsed="false">
      <c r="A579" s="6" t="s">
        <v>78</v>
      </c>
      <c r="B579" s="6" t="s">
        <v>79</v>
      </c>
      <c r="C579" s="6" t="s">
        <v>18</v>
      </c>
      <c r="D579" s="6" t="s">
        <v>19</v>
      </c>
      <c r="E579" s="6" t="s">
        <v>61</v>
      </c>
      <c r="F579" s="6" t="s">
        <v>40</v>
      </c>
      <c r="G579" s="6" t="s">
        <v>41</v>
      </c>
      <c r="H579" s="6" t="s">
        <v>42</v>
      </c>
      <c r="I579" s="7" t="n">
        <v>3.5</v>
      </c>
      <c r="J579" s="7" t="n">
        <v>6.5</v>
      </c>
      <c r="K579" s="6" t="s">
        <v>25</v>
      </c>
      <c r="L579" s="6" t="n">
        <v>241</v>
      </c>
      <c r="M579" s="7" t="n">
        <f aca="false">L579*J579</f>
        <v>1566.5</v>
      </c>
      <c r="N579" s="7" t="n">
        <f aca="false">L579*I579</f>
        <v>843.5</v>
      </c>
      <c r="O579" s="7" t="n">
        <f aca="false">M579-N579</f>
        <v>723</v>
      </c>
      <c r="P579" s="8" t="n">
        <f aca="false">IFERROR(O579/M579,0)</f>
        <v>0.461538461538462</v>
      </c>
    </row>
    <row r="580" customFormat="false" ht="15" hidden="false" customHeight="true" outlineLevel="0" collapsed="false">
      <c r="A580" s="3" t="s">
        <v>78</v>
      </c>
      <c r="B580" s="3" t="s">
        <v>79</v>
      </c>
      <c r="C580" s="3" t="s">
        <v>18</v>
      </c>
      <c r="D580" s="3" t="s">
        <v>19</v>
      </c>
      <c r="E580" s="3" t="s">
        <v>61</v>
      </c>
      <c r="F580" s="3" t="s">
        <v>40</v>
      </c>
      <c r="G580" s="3" t="s">
        <v>41</v>
      </c>
      <c r="H580" s="3" t="s">
        <v>42</v>
      </c>
      <c r="I580" s="4" t="n">
        <v>3.5</v>
      </c>
      <c r="J580" s="4" t="n">
        <v>6.5</v>
      </c>
      <c r="K580" s="3" t="s">
        <v>26</v>
      </c>
      <c r="L580" s="3" t="n">
        <v>229</v>
      </c>
      <c r="M580" s="4" t="n">
        <f aca="false">L580*J580</f>
        <v>1488.5</v>
      </c>
      <c r="N580" s="4" t="n">
        <f aca="false">L580*I580</f>
        <v>801.5</v>
      </c>
      <c r="O580" s="4" t="n">
        <f aca="false">M580-N580</f>
        <v>687</v>
      </c>
      <c r="P580" s="5" t="n">
        <f aca="false">IFERROR(O580/M580,0)</f>
        <v>0.461538461538462</v>
      </c>
    </row>
    <row r="581" customFormat="false" ht="15" hidden="false" customHeight="true" outlineLevel="0" collapsed="false">
      <c r="A581" s="6" t="s">
        <v>78</v>
      </c>
      <c r="B581" s="6" t="s">
        <v>79</v>
      </c>
      <c r="C581" s="6" t="s">
        <v>18</v>
      </c>
      <c r="D581" s="6" t="s">
        <v>19</v>
      </c>
      <c r="E581" s="6" t="s">
        <v>61</v>
      </c>
      <c r="F581" s="6" t="s">
        <v>40</v>
      </c>
      <c r="G581" s="6" t="s">
        <v>41</v>
      </c>
      <c r="H581" s="6" t="s">
        <v>42</v>
      </c>
      <c r="I581" s="7" t="n">
        <v>3.5</v>
      </c>
      <c r="J581" s="7" t="n">
        <v>6.5</v>
      </c>
      <c r="K581" s="6" t="s">
        <v>27</v>
      </c>
      <c r="L581" s="6" t="n">
        <v>235</v>
      </c>
      <c r="M581" s="7" t="n">
        <f aca="false">L581*J581</f>
        <v>1527.5</v>
      </c>
      <c r="N581" s="7" t="n">
        <f aca="false">L581*I581</f>
        <v>822.5</v>
      </c>
      <c r="O581" s="7" t="n">
        <f aca="false">M581-N581</f>
        <v>705</v>
      </c>
      <c r="P581" s="8" t="n">
        <f aca="false">IFERROR(O581/M581,0)</f>
        <v>0.461538461538462</v>
      </c>
    </row>
    <row r="582" customFormat="false" ht="15" hidden="false" customHeight="true" outlineLevel="0" collapsed="false">
      <c r="A582" s="3" t="s">
        <v>78</v>
      </c>
      <c r="B582" s="3" t="s">
        <v>79</v>
      </c>
      <c r="C582" s="3" t="s">
        <v>18</v>
      </c>
      <c r="D582" s="3" t="s">
        <v>19</v>
      </c>
      <c r="E582" s="3" t="s">
        <v>61</v>
      </c>
      <c r="F582" s="3" t="s">
        <v>40</v>
      </c>
      <c r="G582" s="3" t="s">
        <v>41</v>
      </c>
      <c r="H582" s="3" t="s">
        <v>42</v>
      </c>
      <c r="I582" s="4" t="n">
        <v>3.5</v>
      </c>
      <c r="J582" s="4" t="n">
        <v>6.5</v>
      </c>
      <c r="K582" s="3" t="s">
        <v>28</v>
      </c>
      <c r="L582" s="3" t="n">
        <v>246</v>
      </c>
      <c r="M582" s="4" t="n">
        <f aca="false">L582*J582</f>
        <v>1599</v>
      </c>
      <c r="N582" s="4" t="n">
        <f aca="false">L582*I582</f>
        <v>861</v>
      </c>
      <c r="O582" s="4" t="n">
        <f aca="false">M582-N582</f>
        <v>738</v>
      </c>
      <c r="P582" s="5" t="n">
        <f aca="false">IFERROR(O582/M582,0)</f>
        <v>0.461538461538462</v>
      </c>
    </row>
    <row r="583" customFormat="false" ht="15" hidden="false" customHeight="true" outlineLevel="0" collapsed="false">
      <c r="A583" s="6" t="s">
        <v>78</v>
      </c>
      <c r="B583" s="6" t="s">
        <v>79</v>
      </c>
      <c r="C583" s="6" t="s">
        <v>18</v>
      </c>
      <c r="D583" s="6" t="s">
        <v>19</v>
      </c>
      <c r="E583" s="6" t="s">
        <v>61</v>
      </c>
      <c r="F583" s="6" t="s">
        <v>40</v>
      </c>
      <c r="G583" s="6" t="s">
        <v>41</v>
      </c>
      <c r="H583" s="6" t="s">
        <v>42</v>
      </c>
      <c r="I583" s="7" t="n">
        <v>3.5</v>
      </c>
      <c r="J583" s="7" t="n">
        <v>6.5</v>
      </c>
      <c r="K583" s="6" t="s">
        <v>29</v>
      </c>
      <c r="L583" s="6" t="n">
        <v>300</v>
      </c>
      <c r="M583" s="7" t="n">
        <f aca="false">L583*J583</f>
        <v>1950</v>
      </c>
      <c r="N583" s="7" t="n">
        <f aca="false">L583*I583</f>
        <v>1050</v>
      </c>
      <c r="O583" s="7" t="n">
        <f aca="false">M583-N583</f>
        <v>900</v>
      </c>
      <c r="P583" s="8" t="n">
        <f aca="false">IFERROR(O583/M583,0)</f>
        <v>0.461538461538462</v>
      </c>
    </row>
    <row r="584" customFormat="false" ht="15" hidden="false" customHeight="true" outlineLevel="0" collapsed="false">
      <c r="A584" s="3" t="s">
        <v>78</v>
      </c>
      <c r="B584" s="3" t="s">
        <v>79</v>
      </c>
      <c r="C584" s="3" t="s">
        <v>18</v>
      </c>
      <c r="D584" s="3" t="s">
        <v>19</v>
      </c>
      <c r="E584" s="3" t="s">
        <v>61</v>
      </c>
      <c r="F584" s="3" t="s">
        <v>43</v>
      </c>
      <c r="G584" s="3" t="s">
        <v>44</v>
      </c>
      <c r="H584" s="3" t="s">
        <v>42</v>
      </c>
      <c r="I584" s="4" t="n">
        <v>2</v>
      </c>
      <c r="J584" s="4" t="n">
        <v>3.8</v>
      </c>
      <c r="K584" s="3" t="s">
        <v>24</v>
      </c>
      <c r="L584" s="3" t="n">
        <v>120</v>
      </c>
      <c r="M584" s="4" t="n">
        <f aca="false">L584*J584</f>
        <v>456</v>
      </c>
      <c r="N584" s="4" t="n">
        <f aca="false">L584*I584</f>
        <v>240</v>
      </c>
      <c r="O584" s="4" t="n">
        <f aca="false">M584-N584</f>
        <v>216</v>
      </c>
      <c r="P584" s="5" t="n">
        <f aca="false">IFERROR(O584/M584,0)</f>
        <v>0.473684210526316</v>
      </c>
    </row>
    <row r="585" customFormat="false" ht="15" hidden="false" customHeight="true" outlineLevel="0" collapsed="false">
      <c r="A585" s="6" t="s">
        <v>78</v>
      </c>
      <c r="B585" s="6" t="s">
        <v>79</v>
      </c>
      <c r="C585" s="6" t="s">
        <v>18</v>
      </c>
      <c r="D585" s="6" t="s">
        <v>19</v>
      </c>
      <c r="E585" s="6" t="s">
        <v>61</v>
      </c>
      <c r="F585" s="6" t="s">
        <v>43</v>
      </c>
      <c r="G585" s="6" t="s">
        <v>44</v>
      </c>
      <c r="H585" s="6" t="s">
        <v>42</v>
      </c>
      <c r="I585" s="7" t="n">
        <v>2</v>
      </c>
      <c r="J585" s="7" t="n">
        <v>3.8</v>
      </c>
      <c r="K585" s="6" t="s">
        <v>25</v>
      </c>
      <c r="L585" s="6" t="n">
        <v>240</v>
      </c>
      <c r="M585" s="7" t="n">
        <f aca="false">L585*J585</f>
        <v>912</v>
      </c>
      <c r="N585" s="7" t="n">
        <f aca="false">L585*I585</f>
        <v>480</v>
      </c>
      <c r="O585" s="7" t="n">
        <f aca="false">M585-N585</f>
        <v>432</v>
      </c>
      <c r="P585" s="8" t="n">
        <f aca="false">IFERROR(O585/M585,0)</f>
        <v>0.473684210526316</v>
      </c>
    </row>
    <row r="586" customFormat="false" ht="15" hidden="false" customHeight="true" outlineLevel="0" collapsed="false">
      <c r="A586" s="3" t="s">
        <v>78</v>
      </c>
      <c r="B586" s="3" t="s">
        <v>79</v>
      </c>
      <c r="C586" s="3" t="s">
        <v>18</v>
      </c>
      <c r="D586" s="3" t="s">
        <v>19</v>
      </c>
      <c r="E586" s="3" t="s">
        <v>61</v>
      </c>
      <c r="F586" s="3" t="s">
        <v>43</v>
      </c>
      <c r="G586" s="3" t="s">
        <v>44</v>
      </c>
      <c r="H586" s="3" t="s">
        <v>42</v>
      </c>
      <c r="I586" s="4" t="n">
        <v>2</v>
      </c>
      <c r="J586" s="4" t="n">
        <v>3.8</v>
      </c>
      <c r="K586" s="3" t="s">
        <v>26</v>
      </c>
      <c r="L586" s="3" t="n">
        <v>161</v>
      </c>
      <c r="M586" s="4" t="n">
        <f aca="false">L586*J586</f>
        <v>611.8</v>
      </c>
      <c r="N586" s="4" t="n">
        <f aca="false">L586*I586</f>
        <v>322</v>
      </c>
      <c r="O586" s="4" t="n">
        <f aca="false">M586-N586</f>
        <v>289.8</v>
      </c>
      <c r="P586" s="5" t="n">
        <f aca="false">IFERROR(O586/M586,0)</f>
        <v>0.473684210526316</v>
      </c>
    </row>
    <row r="587" customFormat="false" ht="15" hidden="false" customHeight="true" outlineLevel="0" collapsed="false">
      <c r="A587" s="6" t="s">
        <v>78</v>
      </c>
      <c r="B587" s="6" t="s">
        <v>79</v>
      </c>
      <c r="C587" s="6" t="s">
        <v>18</v>
      </c>
      <c r="D587" s="6" t="s">
        <v>19</v>
      </c>
      <c r="E587" s="6" t="s">
        <v>61</v>
      </c>
      <c r="F587" s="6" t="s">
        <v>43</v>
      </c>
      <c r="G587" s="6" t="s">
        <v>44</v>
      </c>
      <c r="H587" s="6" t="s">
        <v>42</v>
      </c>
      <c r="I587" s="7" t="n">
        <v>2</v>
      </c>
      <c r="J587" s="7" t="n">
        <v>3.8</v>
      </c>
      <c r="K587" s="6" t="s">
        <v>27</v>
      </c>
      <c r="L587" s="6" t="n">
        <v>33</v>
      </c>
      <c r="M587" s="7" t="n">
        <f aca="false">L587*J587</f>
        <v>125.4</v>
      </c>
      <c r="N587" s="7" t="n">
        <f aca="false">L587*I587</f>
        <v>66</v>
      </c>
      <c r="O587" s="7" t="n">
        <f aca="false">M587-N587</f>
        <v>59.4</v>
      </c>
      <c r="P587" s="8" t="n">
        <f aca="false">IFERROR(O587/M587,0)</f>
        <v>0.473684210526316</v>
      </c>
    </row>
    <row r="588" customFormat="false" ht="15" hidden="false" customHeight="true" outlineLevel="0" collapsed="false">
      <c r="A588" s="3" t="s">
        <v>78</v>
      </c>
      <c r="B588" s="3" t="s">
        <v>79</v>
      </c>
      <c r="C588" s="3" t="s">
        <v>18</v>
      </c>
      <c r="D588" s="3" t="s">
        <v>19</v>
      </c>
      <c r="E588" s="3" t="s">
        <v>61</v>
      </c>
      <c r="F588" s="3" t="s">
        <v>43</v>
      </c>
      <c r="G588" s="3" t="s">
        <v>44</v>
      </c>
      <c r="H588" s="3" t="s">
        <v>42</v>
      </c>
      <c r="I588" s="4" t="n">
        <v>2</v>
      </c>
      <c r="J588" s="4" t="n">
        <v>3.8</v>
      </c>
      <c r="K588" s="3" t="s">
        <v>28</v>
      </c>
      <c r="L588" s="3" t="n">
        <v>237</v>
      </c>
      <c r="M588" s="4" t="n">
        <f aca="false">L588*J588</f>
        <v>900.6</v>
      </c>
      <c r="N588" s="4" t="n">
        <f aca="false">L588*I588</f>
        <v>474</v>
      </c>
      <c r="O588" s="4" t="n">
        <f aca="false">M588-N588</f>
        <v>426.6</v>
      </c>
      <c r="P588" s="5" t="n">
        <f aca="false">IFERROR(O588/M588,0)</f>
        <v>0.473684210526316</v>
      </c>
    </row>
    <row r="589" customFormat="false" ht="15" hidden="false" customHeight="true" outlineLevel="0" collapsed="false">
      <c r="A589" s="6" t="s">
        <v>78</v>
      </c>
      <c r="B589" s="6" t="s">
        <v>79</v>
      </c>
      <c r="C589" s="6" t="s">
        <v>18</v>
      </c>
      <c r="D589" s="6" t="s">
        <v>19</v>
      </c>
      <c r="E589" s="6" t="s">
        <v>61</v>
      </c>
      <c r="F589" s="6" t="s">
        <v>43</v>
      </c>
      <c r="G589" s="6" t="s">
        <v>44</v>
      </c>
      <c r="H589" s="6" t="s">
        <v>42</v>
      </c>
      <c r="I589" s="7" t="n">
        <v>2</v>
      </c>
      <c r="J589" s="7" t="n">
        <v>3.8</v>
      </c>
      <c r="K589" s="6" t="s">
        <v>29</v>
      </c>
      <c r="L589" s="6" t="n">
        <v>130</v>
      </c>
      <c r="M589" s="7" t="n">
        <f aca="false">L589*J589</f>
        <v>494</v>
      </c>
      <c r="N589" s="7" t="n">
        <f aca="false">L589*I589</f>
        <v>260</v>
      </c>
      <c r="O589" s="7" t="n">
        <f aca="false">M589-N589</f>
        <v>234</v>
      </c>
      <c r="P589" s="8" t="n">
        <f aca="false">IFERROR(O589/M589,0)</f>
        <v>0.473684210526316</v>
      </c>
    </row>
    <row r="590" customFormat="false" ht="15" hidden="false" customHeight="true" outlineLevel="0" collapsed="false">
      <c r="A590" s="3" t="s">
        <v>78</v>
      </c>
      <c r="B590" s="3" t="s">
        <v>79</v>
      </c>
      <c r="C590" s="3" t="s">
        <v>18</v>
      </c>
      <c r="D590" s="3" t="s">
        <v>19</v>
      </c>
      <c r="E590" s="3" t="s">
        <v>61</v>
      </c>
      <c r="F590" s="3" t="s">
        <v>45</v>
      </c>
      <c r="G590" s="3" t="s">
        <v>46</v>
      </c>
      <c r="H590" s="3" t="s">
        <v>42</v>
      </c>
      <c r="I590" s="4" t="n">
        <v>5</v>
      </c>
      <c r="J590" s="4" t="n">
        <v>10</v>
      </c>
      <c r="K590" s="3" t="s">
        <v>24</v>
      </c>
      <c r="L590" s="3" t="n">
        <v>127</v>
      </c>
      <c r="M590" s="4" t="n">
        <f aca="false">L590*J590</f>
        <v>1270</v>
      </c>
      <c r="N590" s="4" t="n">
        <f aca="false">L590*I590</f>
        <v>635</v>
      </c>
      <c r="O590" s="4" t="n">
        <f aca="false">M590-N590</f>
        <v>635</v>
      </c>
      <c r="P590" s="5" t="n">
        <f aca="false">IFERROR(O590/M590,0)</f>
        <v>0.5</v>
      </c>
    </row>
    <row r="591" customFormat="false" ht="15" hidden="false" customHeight="true" outlineLevel="0" collapsed="false">
      <c r="A591" s="6" t="s">
        <v>78</v>
      </c>
      <c r="B591" s="6" t="s">
        <v>79</v>
      </c>
      <c r="C591" s="6" t="s">
        <v>18</v>
      </c>
      <c r="D591" s="6" t="s">
        <v>19</v>
      </c>
      <c r="E591" s="6" t="s">
        <v>61</v>
      </c>
      <c r="F591" s="6" t="s">
        <v>45</v>
      </c>
      <c r="G591" s="6" t="s">
        <v>46</v>
      </c>
      <c r="H591" s="6" t="s">
        <v>42</v>
      </c>
      <c r="I591" s="7" t="n">
        <v>5</v>
      </c>
      <c r="J591" s="7" t="n">
        <v>10</v>
      </c>
      <c r="K591" s="6" t="s">
        <v>25</v>
      </c>
      <c r="L591" s="6" t="n">
        <v>137</v>
      </c>
      <c r="M591" s="7" t="n">
        <f aca="false">L591*J591</f>
        <v>1370</v>
      </c>
      <c r="N591" s="7" t="n">
        <f aca="false">L591*I591</f>
        <v>685</v>
      </c>
      <c r="O591" s="7" t="n">
        <f aca="false">M591-N591</f>
        <v>685</v>
      </c>
      <c r="P591" s="8" t="n">
        <f aca="false">IFERROR(O591/M591,0)</f>
        <v>0.5</v>
      </c>
    </row>
    <row r="592" customFormat="false" ht="15" hidden="false" customHeight="true" outlineLevel="0" collapsed="false">
      <c r="A592" s="3" t="s">
        <v>78</v>
      </c>
      <c r="B592" s="3" t="s">
        <v>79</v>
      </c>
      <c r="C592" s="3" t="s">
        <v>18</v>
      </c>
      <c r="D592" s="3" t="s">
        <v>19</v>
      </c>
      <c r="E592" s="3" t="s">
        <v>61</v>
      </c>
      <c r="F592" s="3" t="s">
        <v>45</v>
      </c>
      <c r="G592" s="3" t="s">
        <v>46</v>
      </c>
      <c r="H592" s="3" t="s">
        <v>42</v>
      </c>
      <c r="I592" s="4" t="n">
        <v>5</v>
      </c>
      <c r="J592" s="4" t="n">
        <v>10</v>
      </c>
      <c r="K592" s="3" t="s">
        <v>26</v>
      </c>
      <c r="L592" s="3" t="n">
        <v>151</v>
      </c>
      <c r="M592" s="4" t="n">
        <f aca="false">L592*J592</f>
        <v>1510</v>
      </c>
      <c r="N592" s="4" t="n">
        <f aca="false">L592*I592</f>
        <v>755</v>
      </c>
      <c r="O592" s="4" t="n">
        <f aca="false">M592-N592</f>
        <v>755</v>
      </c>
      <c r="P592" s="5" t="n">
        <f aca="false">IFERROR(O592/M592,0)</f>
        <v>0.5</v>
      </c>
    </row>
    <row r="593" customFormat="false" ht="15" hidden="false" customHeight="true" outlineLevel="0" collapsed="false">
      <c r="A593" s="6" t="s">
        <v>78</v>
      </c>
      <c r="B593" s="6" t="s">
        <v>79</v>
      </c>
      <c r="C593" s="6" t="s">
        <v>18</v>
      </c>
      <c r="D593" s="6" t="s">
        <v>19</v>
      </c>
      <c r="E593" s="6" t="s">
        <v>61</v>
      </c>
      <c r="F593" s="6" t="s">
        <v>45</v>
      </c>
      <c r="G593" s="6" t="s">
        <v>46</v>
      </c>
      <c r="H593" s="6" t="s">
        <v>42</v>
      </c>
      <c r="I593" s="7" t="n">
        <v>5</v>
      </c>
      <c r="J593" s="7" t="n">
        <v>10</v>
      </c>
      <c r="K593" s="6" t="s">
        <v>27</v>
      </c>
      <c r="L593" s="6" t="n">
        <v>201</v>
      </c>
      <c r="M593" s="7" t="n">
        <f aca="false">L593*J593</f>
        <v>2010</v>
      </c>
      <c r="N593" s="7" t="n">
        <f aca="false">L593*I593</f>
        <v>1005</v>
      </c>
      <c r="O593" s="7" t="n">
        <f aca="false">M593-N593</f>
        <v>1005</v>
      </c>
      <c r="P593" s="8" t="n">
        <f aca="false">IFERROR(O593/M593,0)</f>
        <v>0.5</v>
      </c>
    </row>
    <row r="594" customFormat="false" ht="15" hidden="false" customHeight="true" outlineLevel="0" collapsed="false">
      <c r="A594" s="3" t="s">
        <v>78</v>
      </c>
      <c r="B594" s="3" t="s">
        <v>79</v>
      </c>
      <c r="C594" s="3" t="s">
        <v>18</v>
      </c>
      <c r="D594" s="3" t="s">
        <v>19</v>
      </c>
      <c r="E594" s="3" t="s">
        <v>61</v>
      </c>
      <c r="F594" s="3" t="s">
        <v>45</v>
      </c>
      <c r="G594" s="3" t="s">
        <v>46</v>
      </c>
      <c r="H594" s="3" t="s">
        <v>42</v>
      </c>
      <c r="I594" s="4" t="n">
        <v>5</v>
      </c>
      <c r="J594" s="4" t="n">
        <v>10</v>
      </c>
      <c r="K594" s="3" t="s">
        <v>28</v>
      </c>
      <c r="L594" s="3" t="n">
        <v>35</v>
      </c>
      <c r="M594" s="4" t="n">
        <f aca="false">L594*J594</f>
        <v>350</v>
      </c>
      <c r="N594" s="4" t="n">
        <f aca="false">L594*I594</f>
        <v>175</v>
      </c>
      <c r="O594" s="4" t="n">
        <f aca="false">M594-N594</f>
        <v>175</v>
      </c>
      <c r="P594" s="5" t="n">
        <f aca="false">IFERROR(O594/M594,0)</f>
        <v>0.5</v>
      </c>
    </row>
    <row r="595" customFormat="false" ht="15" hidden="false" customHeight="true" outlineLevel="0" collapsed="false">
      <c r="A595" s="6" t="s">
        <v>78</v>
      </c>
      <c r="B595" s="6" t="s">
        <v>79</v>
      </c>
      <c r="C595" s="6" t="s">
        <v>18</v>
      </c>
      <c r="D595" s="6" t="s">
        <v>19</v>
      </c>
      <c r="E595" s="6" t="s">
        <v>61</v>
      </c>
      <c r="F595" s="6" t="s">
        <v>45</v>
      </c>
      <c r="G595" s="6" t="s">
        <v>46</v>
      </c>
      <c r="H595" s="6" t="s">
        <v>42</v>
      </c>
      <c r="I595" s="7" t="n">
        <v>5</v>
      </c>
      <c r="J595" s="7" t="n">
        <v>10</v>
      </c>
      <c r="K595" s="6" t="s">
        <v>29</v>
      </c>
      <c r="L595" s="6" t="n">
        <v>129</v>
      </c>
      <c r="M595" s="7" t="n">
        <f aca="false">L595*J595</f>
        <v>1290</v>
      </c>
      <c r="N595" s="7" t="n">
        <f aca="false">L595*I595</f>
        <v>645</v>
      </c>
      <c r="O595" s="7" t="n">
        <f aca="false">M595-N595</f>
        <v>645</v>
      </c>
      <c r="P595" s="8" t="n">
        <f aca="false">IFERROR(O595/M595,0)</f>
        <v>0.5</v>
      </c>
    </row>
    <row r="596" customFormat="false" ht="15" hidden="false" customHeight="true" outlineLevel="0" collapsed="false">
      <c r="A596" s="3" t="s">
        <v>78</v>
      </c>
      <c r="B596" s="3" t="s">
        <v>79</v>
      </c>
      <c r="C596" s="3" t="s">
        <v>18</v>
      </c>
      <c r="D596" s="3" t="s">
        <v>19</v>
      </c>
      <c r="E596" s="3" t="s">
        <v>61</v>
      </c>
      <c r="F596" s="3" t="s">
        <v>47</v>
      </c>
      <c r="G596" s="3" t="s">
        <v>48</v>
      </c>
      <c r="H596" s="3" t="s">
        <v>42</v>
      </c>
      <c r="I596" s="4" t="n">
        <v>2.8</v>
      </c>
      <c r="J596" s="4" t="n">
        <v>5.5</v>
      </c>
      <c r="K596" s="3" t="s">
        <v>24</v>
      </c>
      <c r="L596" s="3" t="n">
        <v>153</v>
      </c>
      <c r="M596" s="4" t="n">
        <f aca="false">L596*J596</f>
        <v>841.5</v>
      </c>
      <c r="N596" s="4" t="n">
        <f aca="false">L596*I596</f>
        <v>428.4</v>
      </c>
      <c r="O596" s="4" t="n">
        <f aca="false">M596-N596</f>
        <v>413.1</v>
      </c>
      <c r="P596" s="5" t="n">
        <f aca="false">IFERROR(O596/M596,0)</f>
        <v>0.490909090909091</v>
      </c>
    </row>
    <row r="597" customFormat="false" ht="15" hidden="false" customHeight="true" outlineLevel="0" collapsed="false">
      <c r="A597" s="6" t="s">
        <v>78</v>
      </c>
      <c r="B597" s="6" t="s">
        <v>79</v>
      </c>
      <c r="C597" s="6" t="s">
        <v>18</v>
      </c>
      <c r="D597" s="6" t="s">
        <v>19</v>
      </c>
      <c r="E597" s="6" t="s">
        <v>61</v>
      </c>
      <c r="F597" s="6" t="s">
        <v>47</v>
      </c>
      <c r="G597" s="6" t="s">
        <v>48</v>
      </c>
      <c r="H597" s="6" t="s">
        <v>42</v>
      </c>
      <c r="I597" s="7" t="n">
        <v>2.8</v>
      </c>
      <c r="J597" s="7" t="n">
        <v>5.5</v>
      </c>
      <c r="K597" s="6" t="s">
        <v>25</v>
      </c>
      <c r="L597" s="6" t="n">
        <v>71</v>
      </c>
      <c r="M597" s="7" t="n">
        <f aca="false">L597*J597</f>
        <v>390.5</v>
      </c>
      <c r="N597" s="7" t="n">
        <f aca="false">L597*I597</f>
        <v>198.8</v>
      </c>
      <c r="O597" s="7" t="n">
        <f aca="false">M597-N597</f>
        <v>191.7</v>
      </c>
      <c r="P597" s="8" t="n">
        <f aca="false">IFERROR(O597/M597,0)</f>
        <v>0.490909090909091</v>
      </c>
    </row>
    <row r="598" customFormat="false" ht="15" hidden="false" customHeight="true" outlineLevel="0" collapsed="false">
      <c r="A598" s="3" t="s">
        <v>78</v>
      </c>
      <c r="B598" s="3" t="s">
        <v>79</v>
      </c>
      <c r="C598" s="3" t="s">
        <v>18</v>
      </c>
      <c r="D598" s="3" t="s">
        <v>19</v>
      </c>
      <c r="E598" s="3" t="s">
        <v>61</v>
      </c>
      <c r="F598" s="3" t="s">
        <v>47</v>
      </c>
      <c r="G598" s="3" t="s">
        <v>48</v>
      </c>
      <c r="H598" s="3" t="s">
        <v>42</v>
      </c>
      <c r="I598" s="4" t="n">
        <v>2.8</v>
      </c>
      <c r="J598" s="4" t="n">
        <v>5.5</v>
      </c>
      <c r="K598" s="3" t="s">
        <v>26</v>
      </c>
      <c r="L598" s="3" t="n">
        <v>96</v>
      </c>
      <c r="M598" s="4" t="n">
        <f aca="false">L598*J598</f>
        <v>528</v>
      </c>
      <c r="N598" s="4" t="n">
        <f aca="false">L598*I598</f>
        <v>268.8</v>
      </c>
      <c r="O598" s="4" t="n">
        <f aca="false">M598-N598</f>
        <v>259.2</v>
      </c>
      <c r="P598" s="5" t="n">
        <f aca="false">IFERROR(O598/M598,0)</f>
        <v>0.490909090909091</v>
      </c>
    </row>
    <row r="599" customFormat="false" ht="15" hidden="false" customHeight="true" outlineLevel="0" collapsed="false">
      <c r="A599" s="6" t="s">
        <v>78</v>
      </c>
      <c r="B599" s="6" t="s">
        <v>79</v>
      </c>
      <c r="C599" s="6" t="s">
        <v>18</v>
      </c>
      <c r="D599" s="6" t="s">
        <v>19</v>
      </c>
      <c r="E599" s="6" t="s">
        <v>61</v>
      </c>
      <c r="F599" s="6" t="s">
        <v>47</v>
      </c>
      <c r="G599" s="6" t="s">
        <v>48</v>
      </c>
      <c r="H599" s="6" t="s">
        <v>42</v>
      </c>
      <c r="I599" s="7" t="n">
        <v>2.8</v>
      </c>
      <c r="J599" s="7" t="n">
        <v>5.5</v>
      </c>
      <c r="K599" s="6" t="s">
        <v>27</v>
      </c>
      <c r="L599" s="6" t="n">
        <v>220</v>
      </c>
      <c r="M599" s="7" t="n">
        <f aca="false">L599*J599</f>
        <v>1210</v>
      </c>
      <c r="N599" s="7" t="n">
        <f aca="false">L599*I599</f>
        <v>616</v>
      </c>
      <c r="O599" s="7" t="n">
        <f aca="false">M599-N599</f>
        <v>594</v>
      </c>
      <c r="P599" s="8" t="n">
        <f aca="false">IFERROR(O599/M599,0)</f>
        <v>0.490909090909091</v>
      </c>
    </row>
    <row r="600" customFormat="false" ht="15" hidden="false" customHeight="true" outlineLevel="0" collapsed="false">
      <c r="A600" s="3" t="s">
        <v>78</v>
      </c>
      <c r="B600" s="3" t="s">
        <v>79</v>
      </c>
      <c r="C600" s="3" t="s">
        <v>18</v>
      </c>
      <c r="D600" s="3" t="s">
        <v>19</v>
      </c>
      <c r="E600" s="3" t="s">
        <v>61</v>
      </c>
      <c r="F600" s="3" t="s">
        <v>47</v>
      </c>
      <c r="G600" s="3" t="s">
        <v>48</v>
      </c>
      <c r="H600" s="3" t="s">
        <v>42</v>
      </c>
      <c r="I600" s="4" t="n">
        <v>2.8</v>
      </c>
      <c r="J600" s="4" t="n">
        <v>5.5</v>
      </c>
      <c r="K600" s="3" t="s">
        <v>28</v>
      </c>
      <c r="L600" s="3" t="n">
        <v>224</v>
      </c>
      <c r="M600" s="4" t="n">
        <f aca="false">L600*J600</f>
        <v>1232</v>
      </c>
      <c r="N600" s="4" t="n">
        <f aca="false">L600*I600</f>
        <v>627.2</v>
      </c>
      <c r="O600" s="4" t="n">
        <f aca="false">M600-N600</f>
        <v>604.8</v>
      </c>
      <c r="P600" s="5" t="n">
        <f aca="false">IFERROR(O600/M600,0)</f>
        <v>0.490909090909091</v>
      </c>
    </row>
    <row r="601" customFormat="false" ht="15" hidden="false" customHeight="true" outlineLevel="0" collapsed="false">
      <c r="A601" s="6" t="s">
        <v>78</v>
      </c>
      <c r="B601" s="6" t="s">
        <v>79</v>
      </c>
      <c r="C601" s="6" t="s">
        <v>18</v>
      </c>
      <c r="D601" s="6" t="s">
        <v>19</v>
      </c>
      <c r="E601" s="6" t="s">
        <v>61</v>
      </c>
      <c r="F601" s="6" t="s">
        <v>47</v>
      </c>
      <c r="G601" s="6" t="s">
        <v>48</v>
      </c>
      <c r="H601" s="6" t="s">
        <v>42</v>
      </c>
      <c r="I601" s="7" t="n">
        <v>2.8</v>
      </c>
      <c r="J601" s="7" t="n">
        <v>5.5</v>
      </c>
      <c r="K601" s="6" t="s">
        <v>29</v>
      </c>
      <c r="L601" s="6" t="n">
        <v>152</v>
      </c>
      <c r="M601" s="7" t="n">
        <f aca="false">L601*J601</f>
        <v>836</v>
      </c>
      <c r="N601" s="7" t="n">
        <f aca="false">L601*I601</f>
        <v>425.6</v>
      </c>
      <c r="O601" s="7" t="n">
        <f aca="false">M601-N601</f>
        <v>410.4</v>
      </c>
      <c r="P601" s="8" t="n">
        <f aca="false">IFERROR(O601/M601,0)</f>
        <v>0.490909090909091</v>
      </c>
    </row>
    <row r="602" customFormat="false" ht="15" hidden="false" customHeight="true" outlineLevel="0" collapsed="false">
      <c r="A602" s="3" t="s">
        <v>80</v>
      </c>
      <c r="B602" s="3" t="s">
        <v>81</v>
      </c>
      <c r="C602" s="3" t="s">
        <v>59</v>
      </c>
      <c r="D602" s="3" t="s">
        <v>82</v>
      </c>
      <c r="E602" s="3" t="s">
        <v>52</v>
      </c>
      <c r="F602" s="3" t="s">
        <v>21</v>
      </c>
      <c r="G602" s="3" t="s">
        <v>22</v>
      </c>
      <c r="H602" s="3" t="s">
        <v>23</v>
      </c>
      <c r="I602" s="4" t="n">
        <v>8.99</v>
      </c>
      <c r="J602" s="4" t="n">
        <v>22</v>
      </c>
      <c r="K602" s="3" t="s">
        <v>24</v>
      </c>
      <c r="L602" s="3" t="n">
        <v>50</v>
      </c>
      <c r="M602" s="4" t="n">
        <f aca="false">L602*J602</f>
        <v>1100</v>
      </c>
      <c r="N602" s="4" t="n">
        <f aca="false">L602*I602</f>
        <v>449.5</v>
      </c>
      <c r="O602" s="4" t="n">
        <f aca="false">M602-N602</f>
        <v>650.5</v>
      </c>
      <c r="P602" s="5" t="n">
        <f aca="false">IFERROR(O602/M602,0)</f>
        <v>0.591363636363636</v>
      </c>
    </row>
    <row r="603" customFormat="false" ht="15" hidden="false" customHeight="true" outlineLevel="0" collapsed="false">
      <c r="A603" s="6" t="s">
        <v>80</v>
      </c>
      <c r="B603" s="6" t="s">
        <v>81</v>
      </c>
      <c r="C603" s="6" t="s">
        <v>59</v>
      </c>
      <c r="D603" s="6" t="s">
        <v>82</v>
      </c>
      <c r="E603" s="6" t="s">
        <v>52</v>
      </c>
      <c r="F603" s="6" t="s">
        <v>21</v>
      </c>
      <c r="G603" s="6" t="s">
        <v>22</v>
      </c>
      <c r="H603" s="6" t="s">
        <v>23</v>
      </c>
      <c r="I603" s="7" t="n">
        <v>8.99</v>
      </c>
      <c r="J603" s="7" t="n">
        <v>22</v>
      </c>
      <c r="K603" s="6" t="s">
        <v>25</v>
      </c>
      <c r="L603" s="6" t="n">
        <v>238</v>
      </c>
      <c r="M603" s="7" t="n">
        <f aca="false">L603*J603</f>
        <v>5236</v>
      </c>
      <c r="N603" s="7" t="n">
        <f aca="false">L603*I603</f>
        <v>2139.62</v>
      </c>
      <c r="O603" s="7" t="n">
        <f aca="false">M603-N603</f>
        <v>3096.38</v>
      </c>
      <c r="P603" s="8" t="n">
        <f aca="false">IFERROR(O603/M603,0)</f>
        <v>0.591363636363636</v>
      </c>
    </row>
    <row r="604" customFormat="false" ht="15" hidden="false" customHeight="true" outlineLevel="0" collapsed="false">
      <c r="A604" s="3" t="s">
        <v>80</v>
      </c>
      <c r="B604" s="3" t="s">
        <v>81</v>
      </c>
      <c r="C604" s="3" t="s">
        <v>59</v>
      </c>
      <c r="D604" s="3" t="s">
        <v>82</v>
      </c>
      <c r="E604" s="3" t="s">
        <v>52</v>
      </c>
      <c r="F604" s="3" t="s">
        <v>21</v>
      </c>
      <c r="G604" s="3" t="s">
        <v>22</v>
      </c>
      <c r="H604" s="3" t="s">
        <v>23</v>
      </c>
      <c r="I604" s="4" t="n">
        <v>8.99</v>
      </c>
      <c r="J604" s="4" t="n">
        <v>22</v>
      </c>
      <c r="K604" s="3" t="s">
        <v>26</v>
      </c>
      <c r="L604" s="3" t="n">
        <v>88</v>
      </c>
      <c r="M604" s="4" t="n">
        <f aca="false">L604*J604</f>
        <v>1936</v>
      </c>
      <c r="N604" s="4" t="n">
        <f aca="false">L604*I604</f>
        <v>791.12</v>
      </c>
      <c r="O604" s="4" t="n">
        <f aca="false">M604-N604</f>
        <v>1144.88</v>
      </c>
      <c r="P604" s="5" t="n">
        <f aca="false">IFERROR(O604/M604,0)</f>
        <v>0.591363636363636</v>
      </c>
    </row>
    <row r="605" customFormat="false" ht="15" hidden="false" customHeight="true" outlineLevel="0" collapsed="false">
      <c r="A605" s="6" t="s">
        <v>80</v>
      </c>
      <c r="B605" s="6" t="s">
        <v>81</v>
      </c>
      <c r="C605" s="6" t="s">
        <v>59</v>
      </c>
      <c r="D605" s="6" t="s">
        <v>82</v>
      </c>
      <c r="E605" s="6" t="s">
        <v>52</v>
      </c>
      <c r="F605" s="6" t="s">
        <v>21</v>
      </c>
      <c r="G605" s="6" t="s">
        <v>22</v>
      </c>
      <c r="H605" s="6" t="s">
        <v>23</v>
      </c>
      <c r="I605" s="7" t="n">
        <v>8.99</v>
      </c>
      <c r="J605" s="7" t="n">
        <v>22</v>
      </c>
      <c r="K605" s="6" t="s">
        <v>27</v>
      </c>
      <c r="L605" s="6" t="n">
        <v>290</v>
      </c>
      <c r="M605" s="7" t="n">
        <f aca="false">L605*J605</f>
        <v>6380</v>
      </c>
      <c r="N605" s="7" t="n">
        <f aca="false">L605*I605</f>
        <v>2607.1</v>
      </c>
      <c r="O605" s="7" t="n">
        <f aca="false">M605-N605</f>
        <v>3772.9</v>
      </c>
      <c r="P605" s="8" t="n">
        <f aca="false">IFERROR(O605/M605,0)</f>
        <v>0.591363636363636</v>
      </c>
    </row>
    <row r="606" customFormat="false" ht="15" hidden="false" customHeight="true" outlineLevel="0" collapsed="false">
      <c r="A606" s="3" t="s">
        <v>80</v>
      </c>
      <c r="B606" s="3" t="s">
        <v>81</v>
      </c>
      <c r="C606" s="3" t="s">
        <v>59</v>
      </c>
      <c r="D606" s="3" t="s">
        <v>82</v>
      </c>
      <c r="E606" s="3" t="s">
        <v>52</v>
      </c>
      <c r="F606" s="3" t="s">
        <v>21</v>
      </c>
      <c r="G606" s="3" t="s">
        <v>22</v>
      </c>
      <c r="H606" s="3" t="s">
        <v>23</v>
      </c>
      <c r="I606" s="4" t="n">
        <v>8.99</v>
      </c>
      <c r="J606" s="4" t="n">
        <v>22</v>
      </c>
      <c r="K606" s="3" t="s">
        <v>28</v>
      </c>
      <c r="L606" s="3" t="n">
        <v>264</v>
      </c>
      <c r="M606" s="4" t="n">
        <f aca="false">L606*J606</f>
        <v>5808</v>
      </c>
      <c r="N606" s="4" t="n">
        <f aca="false">L606*I606</f>
        <v>2373.36</v>
      </c>
      <c r="O606" s="4" t="n">
        <f aca="false">M606-N606</f>
        <v>3434.64</v>
      </c>
      <c r="P606" s="5" t="n">
        <f aca="false">IFERROR(O606/M606,0)</f>
        <v>0.591363636363636</v>
      </c>
    </row>
    <row r="607" customFormat="false" ht="15" hidden="false" customHeight="true" outlineLevel="0" collapsed="false">
      <c r="A607" s="6" t="s">
        <v>80</v>
      </c>
      <c r="B607" s="6" t="s">
        <v>81</v>
      </c>
      <c r="C607" s="6" t="s">
        <v>59</v>
      </c>
      <c r="D607" s="6" t="s">
        <v>82</v>
      </c>
      <c r="E607" s="6" t="s">
        <v>52</v>
      </c>
      <c r="F607" s="6" t="s">
        <v>21</v>
      </c>
      <c r="G607" s="6" t="s">
        <v>22</v>
      </c>
      <c r="H607" s="6" t="s">
        <v>23</v>
      </c>
      <c r="I607" s="7" t="n">
        <v>8.99</v>
      </c>
      <c r="J607" s="7" t="n">
        <v>22</v>
      </c>
      <c r="K607" s="6" t="s">
        <v>29</v>
      </c>
      <c r="L607" s="6" t="n">
        <v>114</v>
      </c>
      <c r="M607" s="7" t="n">
        <f aca="false">L607*J607</f>
        <v>2508</v>
      </c>
      <c r="N607" s="7" t="n">
        <f aca="false">L607*I607</f>
        <v>1024.86</v>
      </c>
      <c r="O607" s="7" t="n">
        <f aca="false">M607-N607</f>
        <v>1483.14</v>
      </c>
      <c r="P607" s="8" t="n">
        <f aca="false">IFERROR(O607/M607,0)</f>
        <v>0.591363636363636</v>
      </c>
    </row>
    <row r="608" customFormat="false" ht="15" hidden="false" customHeight="true" outlineLevel="0" collapsed="false">
      <c r="A608" s="3" t="s">
        <v>80</v>
      </c>
      <c r="B608" s="3" t="s">
        <v>81</v>
      </c>
      <c r="C608" s="3" t="s">
        <v>59</v>
      </c>
      <c r="D608" s="3" t="s">
        <v>82</v>
      </c>
      <c r="E608" s="3" t="s">
        <v>52</v>
      </c>
      <c r="F608" s="3" t="s">
        <v>30</v>
      </c>
      <c r="G608" s="3" t="s">
        <v>31</v>
      </c>
      <c r="H608" s="3" t="s">
        <v>23</v>
      </c>
      <c r="I608" s="4" t="n">
        <v>8.5</v>
      </c>
      <c r="J608" s="4" t="n">
        <v>21</v>
      </c>
      <c r="K608" s="3" t="s">
        <v>24</v>
      </c>
      <c r="L608" s="3" t="n">
        <v>284</v>
      </c>
      <c r="M608" s="4" t="n">
        <f aca="false">L608*J608</f>
        <v>5964</v>
      </c>
      <c r="N608" s="4" t="n">
        <f aca="false">L608*I608</f>
        <v>2414</v>
      </c>
      <c r="O608" s="4" t="n">
        <f aca="false">M608-N608</f>
        <v>3550</v>
      </c>
      <c r="P608" s="5" t="n">
        <f aca="false">IFERROR(O608/M608,0)</f>
        <v>0.595238095238095</v>
      </c>
    </row>
    <row r="609" customFormat="false" ht="15" hidden="false" customHeight="true" outlineLevel="0" collapsed="false">
      <c r="A609" s="6" t="s">
        <v>80</v>
      </c>
      <c r="B609" s="6" t="s">
        <v>81</v>
      </c>
      <c r="C609" s="6" t="s">
        <v>59</v>
      </c>
      <c r="D609" s="6" t="s">
        <v>82</v>
      </c>
      <c r="E609" s="6" t="s">
        <v>52</v>
      </c>
      <c r="F609" s="6" t="s">
        <v>30</v>
      </c>
      <c r="G609" s="6" t="s">
        <v>31</v>
      </c>
      <c r="H609" s="6" t="s">
        <v>23</v>
      </c>
      <c r="I609" s="7" t="n">
        <v>8.5</v>
      </c>
      <c r="J609" s="7" t="n">
        <v>21</v>
      </c>
      <c r="K609" s="6" t="s">
        <v>25</v>
      </c>
      <c r="L609" s="6" t="n">
        <v>55</v>
      </c>
      <c r="M609" s="7" t="n">
        <f aca="false">L609*J609</f>
        <v>1155</v>
      </c>
      <c r="N609" s="7" t="n">
        <f aca="false">L609*I609</f>
        <v>467.5</v>
      </c>
      <c r="O609" s="7" t="n">
        <f aca="false">M609-N609</f>
        <v>687.5</v>
      </c>
      <c r="P609" s="8" t="n">
        <f aca="false">IFERROR(O609/M609,0)</f>
        <v>0.595238095238095</v>
      </c>
    </row>
    <row r="610" customFormat="false" ht="15" hidden="false" customHeight="true" outlineLevel="0" collapsed="false">
      <c r="A610" s="3" t="s">
        <v>80</v>
      </c>
      <c r="B610" s="3" t="s">
        <v>81</v>
      </c>
      <c r="C610" s="3" t="s">
        <v>59</v>
      </c>
      <c r="D610" s="3" t="s">
        <v>82</v>
      </c>
      <c r="E610" s="3" t="s">
        <v>52</v>
      </c>
      <c r="F610" s="3" t="s">
        <v>30</v>
      </c>
      <c r="G610" s="3" t="s">
        <v>31</v>
      </c>
      <c r="H610" s="3" t="s">
        <v>23</v>
      </c>
      <c r="I610" s="4" t="n">
        <v>8.5</v>
      </c>
      <c r="J610" s="4" t="n">
        <v>21</v>
      </c>
      <c r="K610" s="3" t="s">
        <v>26</v>
      </c>
      <c r="L610" s="3" t="n">
        <v>206</v>
      </c>
      <c r="M610" s="4" t="n">
        <f aca="false">L610*J610</f>
        <v>4326</v>
      </c>
      <c r="N610" s="4" t="n">
        <f aca="false">L610*I610</f>
        <v>1751</v>
      </c>
      <c r="O610" s="4" t="n">
        <f aca="false">M610-N610</f>
        <v>2575</v>
      </c>
      <c r="P610" s="5" t="n">
        <f aca="false">IFERROR(O610/M610,0)</f>
        <v>0.595238095238095</v>
      </c>
    </row>
    <row r="611" customFormat="false" ht="15" hidden="false" customHeight="true" outlineLevel="0" collapsed="false">
      <c r="A611" s="6" t="s">
        <v>80</v>
      </c>
      <c r="B611" s="6" t="s">
        <v>81</v>
      </c>
      <c r="C611" s="6" t="s">
        <v>59</v>
      </c>
      <c r="D611" s="6" t="s">
        <v>82</v>
      </c>
      <c r="E611" s="6" t="s">
        <v>52</v>
      </c>
      <c r="F611" s="6" t="s">
        <v>30</v>
      </c>
      <c r="G611" s="6" t="s">
        <v>31</v>
      </c>
      <c r="H611" s="6" t="s">
        <v>23</v>
      </c>
      <c r="I611" s="7" t="n">
        <v>8.5</v>
      </c>
      <c r="J611" s="7" t="n">
        <v>21</v>
      </c>
      <c r="K611" s="6" t="s">
        <v>27</v>
      </c>
      <c r="L611" s="6" t="n">
        <v>38</v>
      </c>
      <c r="M611" s="7" t="n">
        <f aca="false">L611*J611</f>
        <v>798</v>
      </c>
      <c r="N611" s="7" t="n">
        <f aca="false">L611*I611</f>
        <v>323</v>
      </c>
      <c r="O611" s="7" t="n">
        <f aca="false">M611-N611</f>
        <v>475</v>
      </c>
      <c r="P611" s="8" t="n">
        <f aca="false">IFERROR(O611/M611,0)</f>
        <v>0.595238095238095</v>
      </c>
    </row>
    <row r="612" customFormat="false" ht="15" hidden="false" customHeight="true" outlineLevel="0" collapsed="false">
      <c r="A612" s="3" t="s">
        <v>80</v>
      </c>
      <c r="B612" s="3" t="s">
        <v>81</v>
      </c>
      <c r="C612" s="3" t="s">
        <v>59</v>
      </c>
      <c r="D612" s="3" t="s">
        <v>82</v>
      </c>
      <c r="E612" s="3" t="s">
        <v>52</v>
      </c>
      <c r="F612" s="3" t="s">
        <v>30</v>
      </c>
      <c r="G612" s="3" t="s">
        <v>31</v>
      </c>
      <c r="H612" s="3" t="s">
        <v>23</v>
      </c>
      <c r="I612" s="4" t="n">
        <v>8.5</v>
      </c>
      <c r="J612" s="4" t="n">
        <v>21</v>
      </c>
      <c r="K612" s="3" t="s">
        <v>28</v>
      </c>
      <c r="L612" s="3" t="n">
        <v>332</v>
      </c>
      <c r="M612" s="4" t="n">
        <f aca="false">L612*J612</f>
        <v>6972</v>
      </c>
      <c r="N612" s="4" t="n">
        <f aca="false">L612*I612</f>
        <v>2822</v>
      </c>
      <c r="O612" s="4" t="n">
        <f aca="false">M612-N612</f>
        <v>4150</v>
      </c>
      <c r="P612" s="5" t="n">
        <f aca="false">IFERROR(O612/M612,0)</f>
        <v>0.595238095238095</v>
      </c>
    </row>
    <row r="613" customFormat="false" ht="15" hidden="false" customHeight="true" outlineLevel="0" collapsed="false">
      <c r="A613" s="6" t="s">
        <v>80</v>
      </c>
      <c r="B613" s="6" t="s">
        <v>81</v>
      </c>
      <c r="C613" s="6" t="s">
        <v>59</v>
      </c>
      <c r="D613" s="6" t="s">
        <v>82</v>
      </c>
      <c r="E613" s="6" t="s">
        <v>52</v>
      </c>
      <c r="F613" s="6" t="s">
        <v>30</v>
      </c>
      <c r="G613" s="6" t="s">
        <v>31</v>
      </c>
      <c r="H613" s="6" t="s">
        <v>23</v>
      </c>
      <c r="I613" s="7" t="n">
        <v>8.5</v>
      </c>
      <c r="J613" s="7" t="n">
        <v>21</v>
      </c>
      <c r="K613" s="6" t="s">
        <v>29</v>
      </c>
      <c r="L613" s="6" t="n">
        <v>315</v>
      </c>
      <c r="M613" s="7" t="n">
        <f aca="false">L613*J613</f>
        <v>6615</v>
      </c>
      <c r="N613" s="7" t="n">
        <f aca="false">L613*I613</f>
        <v>2677.5</v>
      </c>
      <c r="O613" s="7" t="n">
        <f aca="false">M613-N613</f>
        <v>3937.5</v>
      </c>
      <c r="P613" s="8" t="n">
        <f aca="false">IFERROR(O613/M613,0)</f>
        <v>0.595238095238095</v>
      </c>
    </row>
    <row r="614" customFormat="false" ht="15" hidden="false" customHeight="true" outlineLevel="0" collapsed="false">
      <c r="A614" s="3" t="s">
        <v>80</v>
      </c>
      <c r="B614" s="3" t="s">
        <v>81</v>
      </c>
      <c r="C614" s="3" t="s">
        <v>59</v>
      </c>
      <c r="D614" s="3" t="s">
        <v>82</v>
      </c>
      <c r="E614" s="3" t="s">
        <v>52</v>
      </c>
      <c r="F614" s="3" t="s">
        <v>32</v>
      </c>
      <c r="G614" s="3" t="s">
        <v>33</v>
      </c>
      <c r="H614" s="3" t="s">
        <v>23</v>
      </c>
      <c r="I614" s="4" t="n">
        <v>2.5</v>
      </c>
      <c r="J614" s="4" t="n">
        <v>4.5</v>
      </c>
      <c r="K614" s="3" t="s">
        <v>24</v>
      </c>
      <c r="L614" s="3" t="n">
        <v>285</v>
      </c>
      <c r="M614" s="4" t="n">
        <f aca="false">L614*J614</f>
        <v>1282.5</v>
      </c>
      <c r="N614" s="4" t="n">
        <f aca="false">L614*I614</f>
        <v>712.5</v>
      </c>
      <c r="O614" s="4" t="n">
        <f aca="false">M614-N614</f>
        <v>570</v>
      </c>
      <c r="P614" s="5" t="n">
        <f aca="false">IFERROR(O614/M614,0)</f>
        <v>0.444444444444444</v>
      </c>
    </row>
    <row r="615" customFormat="false" ht="15" hidden="false" customHeight="true" outlineLevel="0" collapsed="false">
      <c r="A615" s="6" t="s">
        <v>80</v>
      </c>
      <c r="B615" s="6" t="s">
        <v>81</v>
      </c>
      <c r="C615" s="6" t="s">
        <v>59</v>
      </c>
      <c r="D615" s="6" t="s">
        <v>82</v>
      </c>
      <c r="E615" s="6" t="s">
        <v>52</v>
      </c>
      <c r="F615" s="6" t="s">
        <v>32</v>
      </c>
      <c r="G615" s="6" t="s">
        <v>33</v>
      </c>
      <c r="H615" s="6" t="s">
        <v>23</v>
      </c>
      <c r="I615" s="7" t="n">
        <v>2.5</v>
      </c>
      <c r="J615" s="7" t="n">
        <v>4.5</v>
      </c>
      <c r="K615" s="6" t="s">
        <v>25</v>
      </c>
      <c r="L615" s="6" t="n">
        <v>55</v>
      </c>
      <c r="M615" s="7" t="n">
        <f aca="false">L615*J615</f>
        <v>247.5</v>
      </c>
      <c r="N615" s="7" t="n">
        <f aca="false">L615*I615</f>
        <v>137.5</v>
      </c>
      <c r="O615" s="7" t="n">
        <f aca="false">M615-N615</f>
        <v>110</v>
      </c>
      <c r="P615" s="8" t="n">
        <f aca="false">IFERROR(O615/M615,0)</f>
        <v>0.444444444444444</v>
      </c>
    </row>
    <row r="616" customFormat="false" ht="15" hidden="false" customHeight="true" outlineLevel="0" collapsed="false">
      <c r="A616" s="3" t="s">
        <v>80</v>
      </c>
      <c r="B616" s="3" t="s">
        <v>81</v>
      </c>
      <c r="C616" s="3" t="s">
        <v>59</v>
      </c>
      <c r="D616" s="3" t="s">
        <v>82</v>
      </c>
      <c r="E616" s="3" t="s">
        <v>52</v>
      </c>
      <c r="F616" s="3" t="s">
        <v>32</v>
      </c>
      <c r="G616" s="3" t="s">
        <v>33</v>
      </c>
      <c r="H616" s="3" t="s">
        <v>23</v>
      </c>
      <c r="I616" s="4" t="n">
        <v>2.5</v>
      </c>
      <c r="J616" s="4" t="n">
        <v>4.5</v>
      </c>
      <c r="K616" s="3" t="s">
        <v>26</v>
      </c>
      <c r="L616" s="3" t="n">
        <v>222</v>
      </c>
      <c r="M616" s="4" t="n">
        <f aca="false">L616*J616</f>
        <v>999</v>
      </c>
      <c r="N616" s="4" t="n">
        <f aca="false">L616*I616</f>
        <v>555</v>
      </c>
      <c r="O616" s="4" t="n">
        <f aca="false">M616-N616</f>
        <v>444</v>
      </c>
      <c r="P616" s="5" t="n">
        <f aca="false">IFERROR(O616/M616,0)</f>
        <v>0.444444444444444</v>
      </c>
    </row>
    <row r="617" customFormat="false" ht="15" hidden="false" customHeight="true" outlineLevel="0" collapsed="false">
      <c r="A617" s="6" t="s">
        <v>80</v>
      </c>
      <c r="B617" s="6" t="s">
        <v>81</v>
      </c>
      <c r="C617" s="6" t="s">
        <v>59</v>
      </c>
      <c r="D617" s="6" t="s">
        <v>82</v>
      </c>
      <c r="E617" s="6" t="s">
        <v>52</v>
      </c>
      <c r="F617" s="6" t="s">
        <v>32</v>
      </c>
      <c r="G617" s="6" t="s">
        <v>33</v>
      </c>
      <c r="H617" s="6" t="s">
        <v>23</v>
      </c>
      <c r="I617" s="7" t="n">
        <v>2.5</v>
      </c>
      <c r="J617" s="7" t="n">
        <v>4.5</v>
      </c>
      <c r="K617" s="6" t="s">
        <v>27</v>
      </c>
      <c r="L617" s="6" t="n">
        <v>102</v>
      </c>
      <c r="M617" s="7" t="n">
        <f aca="false">L617*J617</f>
        <v>459</v>
      </c>
      <c r="N617" s="7" t="n">
        <f aca="false">L617*I617</f>
        <v>255</v>
      </c>
      <c r="O617" s="7" t="n">
        <f aca="false">M617-N617</f>
        <v>204</v>
      </c>
      <c r="P617" s="8" t="n">
        <f aca="false">IFERROR(O617/M617,0)</f>
        <v>0.444444444444444</v>
      </c>
    </row>
    <row r="618" customFormat="false" ht="15" hidden="false" customHeight="true" outlineLevel="0" collapsed="false">
      <c r="A618" s="3" t="s">
        <v>80</v>
      </c>
      <c r="B618" s="3" t="s">
        <v>81</v>
      </c>
      <c r="C618" s="3" t="s">
        <v>59</v>
      </c>
      <c r="D618" s="3" t="s">
        <v>82</v>
      </c>
      <c r="E618" s="3" t="s">
        <v>52</v>
      </c>
      <c r="F618" s="3" t="s">
        <v>32</v>
      </c>
      <c r="G618" s="3" t="s">
        <v>33</v>
      </c>
      <c r="H618" s="3" t="s">
        <v>23</v>
      </c>
      <c r="I618" s="4" t="n">
        <v>2.5</v>
      </c>
      <c r="J618" s="4" t="n">
        <v>4.5</v>
      </c>
      <c r="K618" s="3" t="s">
        <v>28</v>
      </c>
      <c r="L618" s="3" t="n">
        <v>110</v>
      </c>
      <c r="M618" s="4" t="n">
        <f aca="false">L618*J618</f>
        <v>495</v>
      </c>
      <c r="N618" s="4" t="n">
        <f aca="false">L618*I618</f>
        <v>275</v>
      </c>
      <c r="O618" s="4" t="n">
        <f aca="false">M618-N618</f>
        <v>220</v>
      </c>
      <c r="P618" s="5" t="n">
        <f aca="false">IFERROR(O618/M618,0)</f>
        <v>0.444444444444444</v>
      </c>
    </row>
    <row r="619" customFormat="false" ht="15" hidden="false" customHeight="true" outlineLevel="0" collapsed="false">
      <c r="A619" s="6" t="s">
        <v>80</v>
      </c>
      <c r="B619" s="6" t="s">
        <v>81</v>
      </c>
      <c r="C619" s="6" t="s">
        <v>59</v>
      </c>
      <c r="D619" s="6" t="s">
        <v>82</v>
      </c>
      <c r="E619" s="6" t="s">
        <v>52</v>
      </c>
      <c r="F619" s="6" t="s">
        <v>32</v>
      </c>
      <c r="G619" s="6" t="s">
        <v>33</v>
      </c>
      <c r="H619" s="6" t="s">
        <v>23</v>
      </c>
      <c r="I619" s="7" t="n">
        <v>2.5</v>
      </c>
      <c r="J619" s="7" t="n">
        <v>4.5</v>
      </c>
      <c r="K619" s="6" t="s">
        <v>29</v>
      </c>
      <c r="L619" s="6" t="n">
        <v>256</v>
      </c>
      <c r="M619" s="7" t="n">
        <f aca="false">L619*J619</f>
        <v>1152</v>
      </c>
      <c r="N619" s="7" t="n">
        <f aca="false">L619*I619</f>
        <v>640</v>
      </c>
      <c r="O619" s="7" t="n">
        <f aca="false">M619-N619</f>
        <v>512</v>
      </c>
      <c r="P619" s="8" t="n">
        <f aca="false">IFERROR(O619/M619,0)</f>
        <v>0.444444444444444</v>
      </c>
    </row>
    <row r="620" customFormat="false" ht="15" hidden="false" customHeight="true" outlineLevel="0" collapsed="false">
      <c r="A620" s="3" t="s">
        <v>80</v>
      </c>
      <c r="B620" s="3" t="s">
        <v>81</v>
      </c>
      <c r="C620" s="3" t="s">
        <v>59</v>
      </c>
      <c r="D620" s="3" t="s">
        <v>82</v>
      </c>
      <c r="E620" s="3" t="s">
        <v>52</v>
      </c>
      <c r="F620" s="3" t="s">
        <v>34</v>
      </c>
      <c r="G620" s="3" t="s">
        <v>35</v>
      </c>
      <c r="H620" s="3" t="s">
        <v>23</v>
      </c>
      <c r="I620" s="4" t="n">
        <v>6</v>
      </c>
      <c r="J620" s="4" t="n">
        <v>12.5</v>
      </c>
      <c r="K620" s="3" t="s">
        <v>24</v>
      </c>
      <c r="L620" s="3" t="n">
        <v>184</v>
      </c>
      <c r="M620" s="4" t="n">
        <f aca="false">L620*J620</f>
        <v>2300</v>
      </c>
      <c r="N620" s="4" t="n">
        <f aca="false">L620*I620</f>
        <v>1104</v>
      </c>
      <c r="O620" s="4" t="n">
        <f aca="false">M620-N620</f>
        <v>1196</v>
      </c>
      <c r="P620" s="5" t="n">
        <f aca="false">IFERROR(O620/M620,0)</f>
        <v>0.52</v>
      </c>
    </row>
    <row r="621" customFormat="false" ht="15" hidden="false" customHeight="true" outlineLevel="0" collapsed="false">
      <c r="A621" s="6" t="s">
        <v>80</v>
      </c>
      <c r="B621" s="6" t="s">
        <v>81</v>
      </c>
      <c r="C621" s="6" t="s">
        <v>59</v>
      </c>
      <c r="D621" s="6" t="s">
        <v>82</v>
      </c>
      <c r="E621" s="6" t="s">
        <v>52</v>
      </c>
      <c r="F621" s="6" t="s">
        <v>34</v>
      </c>
      <c r="G621" s="6" t="s">
        <v>35</v>
      </c>
      <c r="H621" s="6" t="s">
        <v>23</v>
      </c>
      <c r="I621" s="7" t="n">
        <v>6</v>
      </c>
      <c r="J621" s="7" t="n">
        <v>12.5</v>
      </c>
      <c r="K621" s="6" t="s">
        <v>25</v>
      </c>
      <c r="L621" s="6" t="n">
        <v>282</v>
      </c>
      <c r="M621" s="7" t="n">
        <f aca="false">L621*J621</f>
        <v>3525</v>
      </c>
      <c r="N621" s="7" t="n">
        <f aca="false">L621*I621</f>
        <v>1692</v>
      </c>
      <c r="O621" s="7" t="n">
        <f aca="false">M621-N621</f>
        <v>1833</v>
      </c>
      <c r="P621" s="8" t="n">
        <f aca="false">IFERROR(O621/M621,0)</f>
        <v>0.52</v>
      </c>
    </row>
    <row r="622" customFormat="false" ht="15" hidden="false" customHeight="true" outlineLevel="0" collapsed="false">
      <c r="A622" s="3" t="s">
        <v>80</v>
      </c>
      <c r="B622" s="3" t="s">
        <v>81</v>
      </c>
      <c r="C622" s="3" t="s">
        <v>59</v>
      </c>
      <c r="D622" s="3" t="s">
        <v>82</v>
      </c>
      <c r="E622" s="3" t="s">
        <v>52</v>
      </c>
      <c r="F622" s="3" t="s">
        <v>34</v>
      </c>
      <c r="G622" s="3" t="s">
        <v>35</v>
      </c>
      <c r="H622" s="3" t="s">
        <v>23</v>
      </c>
      <c r="I622" s="4" t="n">
        <v>6</v>
      </c>
      <c r="J622" s="4" t="n">
        <v>12.5</v>
      </c>
      <c r="K622" s="3" t="s">
        <v>26</v>
      </c>
      <c r="L622" s="3" t="n">
        <v>268</v>
      </c>
      <c r="M622" s="4" t="n">
        <f aca="false">L622*J622</f>
        <v>3350</v>
      </c>
      <c r="N622" s="4" t="n">
        <f aca="false">L622*I622</f>
        <v>1608</v>
      </c>
      <c r="O622" s="4" t="n">
        <f aca="false">M622-N622</f>
        <v>1742</v>
      </c>
      <c r="P622" s="5" t="n">
        <f aca="false">IFERROR(O622/M622,0)</f>
        <v>0.52</v>
      </c>
    </row>
    <row r="623" customFormat="false" ht="15" hidden="false" customHeight="true" outlineLevel="0" collapsed="false">
      <c r="A623" s="6" t="s">
        <v>80</v>
      </c>
      <c r="B623" s="6" t="s">
        <v>81</v>
      </c>
      <c r="C623" s="6" t="s">
        <v>59</v>
      </c>
      <c r="D623" s="6" t="s">
        <v>82</v>
      </c>
      <c r="E623" s="6" t="s">
        <v>52</v>
      </c>
      <c r="F623" s="6" t="s">
        <v>34</v>
      </c>
      <c r="G623" s="6" t="s">
        <v>35</v>
      </c>
      <c r="H623" s="6" t="s">
        <v>23</v>
      </c>
      <c r="I623" s="7" t="n">
        <v>6</v>
      </c>
      <c r="J623" s="7" t="n">
        <v>12.5</v>
      </c>
      <c r="K623" s="6" t="s">
        <v>27</v>
      </c>
      <c r="L623" s="6" t="n">
        <v>102</v>
      </c>
      <c r="M623" s="7" t="n">
        <f aca="false">L623*J623</f>
        <v>1275</v>
      </c>
      <c r="N623" s="7" t="n">
        <f aca="false">L623*I623</f>
        <v>612</v>
      </c>
      <c r="O623" s="7" t="n">
        <f aca="false">M623-N623</f>
        <v>663</v>
      </c>
      <c r="P623" s="8" t="n">
        <f aca="false">IFERROR(O623/M623,0)</f>
        <v>0.52</v>
      </c>
    </row>
    <row r="624" customFormat="false" ht="15" hidden="false" customHeight="true" outlineLevel="0" collapsed="false">
      <c r="A624" s="3" t="s">
        <v>80</v>
      </c>
      <c r="B624" s="3" t="s">
        <v>81</v>
      </c>
      <c r="C624" s="3" t="s">
        <v>59</v>
      </c>
      <c r="D624" s="3" t="s">
        <v>82</v>
      </c>
      <c r="E624" s="3" t="s">
        <v>52</v>
      </c>
      <c r="F624" s="3" t="s">
        <v>34</v>
      </c>
      <c r="G624" s="3" t="s">
        <v>35</v>
      </c>
      <c r="H624" s="3" t="s">
        <v>23</v>
      </c>
      <c r="I624" s="4" t="n">
        <v>6</v>
      </c>
      <c r="J624" s="4" t="n">
        <v>12.5</v>
      </c>
      <c r="K624" s="3" t="s">
        <v>28</v>
      </c>
      <c r="L624" s="3" t="n">
        <v>171</v>
      </c>
      <c r="M624" s="4" t="n">
        <f aca="false">L624*J624</f>
        <v>2137.5</v>
      </c>
      <c r="N624" s="4" t="n">
        <f aca="false">L624*I624</f>
        <v>1026</v>
      </c>
      <c r="O624" s="4" t="n">
        <f aca="false">M624-N624</f>
        <v>1111.5</v>
      </c>
      <c r="P624" s="5" t="n">
        <f aca="false">IFERROR(O624/M624,0)</f>
        <v>0.52</v>
      </c>
    </row>
    <row r="625" customFormat="false" ht="15" hidden="false" customHeight="true" outlineLevel="0" collapsed="false">
      <c r="A625" s="6" t="s">
        <v>80</v>
      </c>
      <c r="B625" s="6" t="s">
        <v>81</v>
      </c>
      <c r="C625" s="6" t="s">
        <v>59</v>
      </c>
      <c r="D625" s="6" t="s">
        <v>82</v>
      </c>
      <c r="E625" s="6" t="s">
        <v>52</v>
      </c>
      <c r="F625" s="6" t="s">
        <v>34</v>
      </c>
      <c r="G625" s="6" t="s">
        <v>35</v>
      </c>
      <c r="H625" s="6" t="s">
        <v>23</v>
      </c>
      <c r="I625" s="7" t="n">
        <v>6</v>
      </c>
      <c r="J625" s="7" t="n">
        <v>12.5</v>
      </c>
      <c r="K625" s="6" t="s">
        <v>29</v>
      </c>
      <c r="L625" s="6" t="n">
        <v>336</v>
      </c>
      <c r="M625" s="7" t="n">
        <f aca="false">L625*J625</f>
        <v>4200</v>
      </c>
      <c r="N625" s="7" t="n">
        <f aca="false">L625*I625</f>
        <v>2016</v>
      </c>
      <c r="O625" s="7" t="n">
        <f aca="false">M625-N625</f>
        <v>2184</v>
      </c>
      <c r="P625" s="8" t="n">
        <f aca="false">IFERROR(O625/M625,0)</f>
        <v>0.52</v>
      </c>
    </row>
    <row r="626" customFormat="false" ht="15" hidden="false" customHeight="true" outlineLevel="0" collapsed="false">
      <c r="A626" s="3" t="s">
        <v>80</v>
      </c>
      <c r="B626" s="3" t="s">
        <v>81</v>
      </c>
      <c r="C626" s="3" t="s">
        <v>59</v>
      </c>
      <c r="D626" s="3" t="s">
        <v>82</v>
      </c>
      <c r="E626" s="3" t="s">
        <v>52</v>
      </c>
      <c r="F626" s="3" t="s">
        <v>36</v>
      </c>
      <c r="G626" s="3" t="s">
        <v>37</v>
      </c>
      <c r="H626" s="3" t="s">
        <v>23</v>
      </c>
      <c r="I626" s="4" t="n">
        <v>4.5</v>
      </c>
      <c r="J626" s="4" t="n">
        <v>7</v>
      </c>
      <c r="K626" s="3" t="s">
        <v>24</v>
      </c>
      <c r="L626" s="3" t="n">
        <v>241</v>
      </c>
      <c r="M626" s="4" t="n">
        <f aca="false">L626*J626</f>
        <v>1687</v>
      </c>
      <c r="N626" s="4" t="n">
        <f aca="false">L626*I626</f>
        <v>1084.5</v>
      </c>
      <c r="O626" s="4" t="n">
        <f aca="false">M626-N626</f>
        <v>602.5</v>
      </c>
      <c r="P626" s="5" t="n">
        <f aca="false">IFERROR(O626/M626,0)</f>
        <v>0.357142857142857</v>
      </c>
    </row>
    <row r="627" customFormat="false" ht="15" hidden="false" customHeight="true" outlineLevel="0" collapsed="false">
      <c r="A627" s="6" t="s">
        <v>80</v>
      </c>
      <c r="B627" s="6" t="s">
        <v>81</v>
      </c>
      <c r="C627" s="6" t="s">
        <v>59</v>
      </c>
      <c r="D627" s="6" t="s">
        <v>82</v>
      </c>
      <c r="E627" s="6" t="s">
        <v>52</v>
      </c>
      <c r="F627" s="6" t="s">
        <v>36</v>
      </c>
      <c r="G627" s="6" t="s">
        <v>37</v>
      </c>
      <c r="H627" s="6" t="s">
        <v>23</v>
      </c>
      <c r="I627" s="7" t="n">
        <v>4.5</v>
      </c>
      <c r="J627" s="7" t="n">
        <v>7</v>
      </c>
      <c r="K627" s="6" t="s">
        <v>25</v>
      </c>
      <c r="L627" s="6" t="n">
        <v>250</v>
      </c>
      <c r="M627" s="7" t="n">
        <f aca="false">L627*J627</f>
        <v>1750</v>
      </c>
      <c r="N627" s="7" t="n">
        <f aca="false">L627*I627</f>
        <v>1125</v>
      </c>
      <c r="O627" s="7" t="n">
        <f aca="false">M627-N627</f>
        <v>625</v>
      </c>
      <c r="P627" s="8" t="n">
        <f aca="false">IFERROR(O627/M627,0)</f>
        <v>0.357142857142857</v>
      </c>
    </row>
    <row r="628" customFormat="false" ht="15" hidden="false" customHeight="true" outlineLevel="0" collapsed="false">
      <c r="A628" s="3" t="s">
        <v>80</v>
      </c>
      <c r="B628" s="3" t="s">
        <v>81</v>
      </c>
      <c r="C628" s="3" t="s">
        <v>59</v>
      </c>
      <c r="D628" s="3" t="s">
        <v>82</v>
      </c>
      <c r="E628" s="3" t="s">
        <v>52</v>
      </c>
      <c r="F628" s="3" t="s">
        <v>36</v>
      </c>
      <c r="G628" s="3" t="s">
        <v>37</v>
      </c>
      <c r="H628" s="3" t="s">
        <v>23</v>
      </c>
      <c r="I628" s="4" t="n">
        <v>4.5</v>
      </c>
      <c r="J628" s="4" t="n">
        <v>7</v>
      </c>
      <c r="K628" s="3" t="s">
        <v>26</v>
      </c>
      <c r="L628" s="3" t="n">
        <v>259</v>
      </c>
      <c r="M628" s="4" t="n">
        <f aca="false">L628*J628</f>
        <v>1813</v>
      </c>
      <c r="N628" s="4" t="n">
        <f aca="false">L628*I628</f>
        <v>1165.5</v>
      </c>
      <c r="O628" s="4" t="n">
        <f aca="false">M628-N628</f>
        <v>647.5</v>
      </c>
      <c r="P628" s="5" t="n">
        <f aca="false">IFERROR(O628/M628,0)</f>
        <v>0.357142857142857</v>
      </c>
    </row>
    <row r="629" customFormat="false" ht="15" hidden="false" customHeight="true" outlineLevel="0" collapsed="false">
      <c r="A629" s="6" t="s">
        <v>80</v>
      </c>
      <c r="B629" s="6" t="s">
        <v>81</v>
      </c>
      <c r="C629" s="6" t="s">
        <v>59</v>
      </c>
      <c r="D629" s="6" t="s">
        <v>82</v>
      </c>
      <c r="E629" s="6" t="s">
        <v>52</v>
      </c>
      <c r="F629" s="6" t="s">
        <v>36</v>
      </c>
      <c r="G629" s="6" t="s">
        <v>37</v>
      </c>
      <c r="H629" s="6" t="s">
        <v>23</v>
      </c>
      <c r="I629" s="7" t="n">
        <v>4.5</v>
      </c>
      <c r="J629" s="7" t="n">
        <v>7</v>
      </c>
      <c r="K629" s="6" t="s">
        <v>27</v>
      </c>
      <c r="L629" s="6" t="n">
        <v>202</v>
      </c>
      <c r="M629" s="7" t="n">
        <f aca="false">L629*J629</f>
        <v>1414</v>
      </c>
      <c r="N629" s="7" t="n">
        <f aca="false">L629*I629</f>
        <v>909</v>
      </c>
      <c r="O629" s="7" t="n">
        <f aca="false">M629-N629</f>
        <v>505</v>
      </c>
      <c r="P629" s="8" t="n">
        <f aca="false">IFERROR(O629/M629,0)</f>
        <v>0.357142857142857</v>
      </c>
    </row>
    <row r="630" customFormat="false" ht="15" hidden="false" customHeight="true" outlineLevel="0" collapsed="false">
      <c r="A630" s="3" t="s">
        <v>80</v>
      </c>
      <c r="B630" s="3" t="s">
        <v>81</v>
      </c>
      <c r="C630" s="3" t="s">
        <v>59</v>
      </c>
      <c r="D630" s="3" t="s">
        <v>82</v>
      </c>
      <c r="E630" s="3" t="s">
        <v>52</v>
      </c>
      <c r="F630" s="3" t="s">
        <v>36</v>
      </c>
      <c r="G630" s="3" t="s">
        <v>37</v>
      </c>
      <c r="H630" s="3" t="s">
        <v>23</v>
      </c>
      <c r="I630" s="4" t="n">
        <v>4.5</v>
      </c>
      <c r="J630" s="4" t="n">
        <v>7</v>
      </c>
      <c r="K630" s="3" t="s">
        <v>28</v>
      </c>
      <c r="L630" s="3" t="n">
        <v>226</v>
      </c>
      <c r="M630" s="4" t="n">
        <f aca="false">L630*J630</f>
        <v>1582</v>
      </c>
      <c r="N630" s="4" t="n">
        <f aca="false">L630*I630</f>
        <v>1017</v>
      </c>
      <c r="O630" s="4" t="n">
        <f aca="false">M630-N630</f>
        <v>565</v>
      </c>
      <c r="P630" s="5" t="n">
        <f aca="false">IFERROR(O630/M630,0)</f>
        <v>0.357142857142857</v>
      </c>
    </row>
    <row r="631" customFormat="false" ht="15" hidden="false" customHeight="true" outlineLevel="0" collapsed="false">
      <c r="A631" s="6" t="s">
        <v>80</v>
      </c>
      <c r="B631" s="6" t="s">
        <v>81</v>
      </c>
      <c r="C631" s="6" t="s">
        <v>59</v>
      </c>
      <c r="D631" s="6" t="s">
        <v>82</v>
      </c>
      <c r="E631" s="6" t="s">
        <v>52</v>
      </c>
      <c r="F631" s="6" t="s">
        <v>36</v>
      </c>
      <c r="G631" s="6" t="s">
        <v>37</v>
      </c>
      <c r="H631" s="6" t="s">
        <v>23</v>
      </c>
      <c r="I631" s="7" t="n">
        <v>4.5</v>
      </c>
      <c r="J631" s="7" t="n">
        <v>7</v>
      </c>
      <c r="K631" s="6" t="s">
        <v>29</v>
      </c>
      <c r="L631" s="6" t="n">
        <v>281</v>
      </c>
      <c r="M631" s="7" t="n">
        <f aca="false">L631*J631</f>
        <v>1967</v>
      </c>
      <c r="N631" s="7" t="n">
        <f aca="false">L631*I631</f>
        <v>1264.5</v>
      </c>
      <c r="O631" s="7" t="n">
        <f aca="false">M631-N631</f>
        <v>702.5</v>
      </c>
      <c r="P631" s="8" t="n">
        <f aca="false">IFERROR(O631/M631,0)</f>
        <v>0.357142857142857</v>
      </c>
    </row>
    <row r="632" customFormat="false" ht="15" hidden="false" customHeight="true" outlineLevel="0" collapsed="false">
      <c r="A632" s="3" t="s">
        <v>80</v>
      </c>
      <c r="B632" s="3" t="s">
        <v>81</v>
      </c>
      <c r="C632" s="3" t="s">
        <v>59</v>
      </c>
      <c r="D632" s="3" t="s">
        <v>82</v>
      </c>
      <c r="E632" s="3" t="s">
        <v>52</v>
      </c>
      <c r="F632" s="3" t="s">
        <v>38</v>
      </c>
      <c r="G632" s="3" t="s">
        <v>39</v>
      </c>
      <c r="H632" s="3" t="s">
        <v>23</v>
      </c>
      <c r="I632" s="4" t="n">
        <v>9.9</v>
      </c>
      <c r="J632" s="4" t="n">
        <v>18</v>
      </c>
      <c r="K632" s="3" t="s">
        <v>24</v>
      </c>
      <c r="L632" s="3" t="n">
        <v>264</v>
      </c>
      <c r="M632" s="4" t="n">
        <f aca="false">L632*J632</f>
        <v>4752</v>
      </c>
      <c r="N632" s="4" t="n">
        <f aca="false">L632*I632</f>
        <v>2613.6</v>
      </c>
      <c r="O632" s="4" t="n">
        <f aca="false">M632-N632</f>
        <v>2138.4</v>
      </c>
      <c r="P632" s="5" t="n">
        <f aca="false">IFERROR(O632/M632,0)</f>
        <v>0.45</v>
      </c>
    </row>
    <row r="633" customFormat="false" ht="15" hidden="false" customHeight="true" outlineLevel="0" collapsed="false">
      <c r="A633" s="6" t="s">
        <v>80</v>
      </c>
      <c r="B633" s="6" t="s">
        <v>81</v>
      </c>
      <c r="C633" s="6" t="s">
        <v>59</v>
      </c>
      <c r="D633" s="6" t="s">
        <v>82</v>
      </c>
      <c r="E633" s="6" t="s">
        <v>52</v>
      </c>
      <c r="F633" s="6" t="s">
        <v>38</v>
      </c>
      <c r="G633" s="6" t="s">
        <v>39</v>
      </c>
      <c r="H633" s="6" t="s">
        <v>23</v>
      </c>
      <c r="I633" s="7" t="n">
        <v>9.9</v>
      </c>
      <c r="J633" s="7" t="n">
        <v>18</v>
      </c>
      <c r="K633" s="6" t="s">
        <v>25</v>
      </c>
      <c r="L633" s="6" t="n">
        <v>64</v>
      </c>
      <c r="M633" s="7" t="n">
        <f aca="false">L633*J633</f>
        <v>1152</v>
      </c>
      <c r="N633" s="7" t="n">
        <f aca="false">L633*I633</f>
        <v>633.6</v>
      </c>
      <c r="O633" s="7" t="n">
        <f aca="false">M633-N633</f>
        <v>518.4</v>
      </c>
      <c r="P633" s="8" t="n">
        <f aca="false">IFERROR(O633/M633,0)</f>
        <v>0.45</v>
      </c>
    </row>
    <row r="634" customFormat="false" ht="15" hidden="false" customHeight="true" outlineLevel="0" collapsed="false">
      <c r="A634" s="3" t="s">
        <v>80</v>
      </c>
      <c r="B634" s="3" t="s">
        <v>81</v>
      </c>
      <c r="C634" s="3" t="s">
        <v>59</v>
      </c>
      <c r="D634" s="3" t="s">
        <v>82</v>
      </c>
      <c r="E634" s="3" t="s">
        <v>52</v>
      </c>
      <c r="F634" s="3" t="s">
        <v>38</v>
      </c>
      <c r="G634" s="3" t="s">
        <v>39</v>
      </c>
      <c r="H634" s="3" t="s">
        <v>23</v>
      </c>
      <c r="I634" s="4" t="n">
        <v>9.9</v>
      </c>
      <c r="J634" s="4" t="n">
        <v>18</v>
      </c>
      <c r="K634" s="3" t="s">
        <v>26</v>
      </c>
      <c r="L634" s="3" t="n">
        <v>87</v>
      </c>
      <c r="M634" s="4" t="n">
        <f aca="false">L634*J634</f>
        <v>1566</v>
      </c>
      <c r="N634" s="4" t="n">
        <f aca="false">L634*I634</f>
        <v>861.3</v>
      </c>
      <c r="O634" s="4" t="n">
        <f aca="false">M634-N634</f>
        <v>704.7</v>
      </c>
      <c r="P634" s="5" t="n">
        <f aca="false">IFERROR(O634/M634,0)</f>
        <v>0.45</v>
      </c>
    </row>
    <row r="635" customFormat="false" ht="15" hidden="false" customHeight="true" outlineLevel="0" collapsed="false">
      <c r="A635" s="6" t="s">
        <v>80</v>
      </c>
      <c r="B635" s="6" t="s">
        <v>81</v>
      </c>
      <c r="C635" s="6" t="s">
        <v>59</v>
      </c>
      <c r="D635" s="6" t="s">
        <v>82</v>
      </c>
      <c r="E635" s="6" t="s">
        <v>52</v>
      </c>
      <c r="F635" s="6" t="s">
        <v>38</v>
      </c>
      <c r="G635" s="6" t="s">
        <v>39</v>
      </c>
      <c r="H635" s="6" t="s">
        <v>23</v>
      </c>
      <c r="I635" s="7" t="n">
        <v>9.9</v>
      </c>
      <c r="J635" s="7" t="n">
        <v>18</v>
      </c>
      <c r="K635" s="6" t="s">
        <v>27</v>
      </c>
      <c r="L635" s="6" t="n">
        <v>83</v>
      </c>
      <c r="M635" s="7" t="n">
        <f aca="false">L635*J635</f>
        <v>1494</v>
      </c>
      <c r="N635" s="7" t="n">
        <f aca="false">L635*I635</f>
        <v>821.7</v>
      </c>
      <c r="O635" s="7" t="n">
        <f aca="false">M635-N635</f>
        <v>672.3</v>
      </c>
      <c r="P635" s="8" t="n">
        <f aca="false">IFERROR(O635/M635,0)</f>
        <v>0.45</v>
      </c>
    </row>
    <row r="636" customFormat="false" ht="15" hidden="false" customHeight="true" outlineLevel="0" collapsed="false">
      <c r="A636" s="3" t="s">
        <v>80</v>
      </c>
      <c r="B636" s="3" t="s">
        <v>81</v>
      </c>
      <c r="C636" s="3" t="s">
        <v>59</v>
      </c>
      <c r="D636" s="3" t="s">
        <v>82</v>
      </c>
      <c r="E636" s="3" t="s">
        <v>52</v>
      </c>
      <c r="F636" s="3" t="s">
        <v>38</v>
      </c>
      <c r="G636" s="3" t="s">
        <v>39</v>
      </c>
      <c r="H636" s="3" t="s">
        <v>23</v>
      </c>
      <c r="I636" s="4" t="n">
        <v>9.9</v>
      </c>
      <c r="J636" s="4" t="n">
        <v>18</v>
      </c>
      <c r="K636" s="3" t="s">
        <v>28</v>
      </c>
      <c r="L636" s="3" t="n">
        <v>122</v>
      </c>
      <c r="M636" s="4" t="n">
        <f aca="false">L636*J636</f>
        <v>2196</v>
      </c>
      <c r="N636" s="4" t="n">
        <f aca="false">L636*I636</f>
        <v>1207.8</v>
      </c>
      <c r="O636" s="4" t="n">
        <f aca="false">M636-N636</f>
        <v>988.2</v>
      </c>
      <c r="P636" s="5" t="n">
        <f aca="false">IFERROR(O636/M636,0)</f>
        <v>0.45</v>
      </c>
    </row>
    <row r="637" customFormat="false" ht="15" hidden="false" customHeight="true" outlineLevel="0" collapsed="false">
      <c r="A637" s="6" t="s">
        <v>80</v>
      </c>
      <c r="B637" s="6" t="s">
        <v>81</v>
      </c>
      <c r="C637" s="6" t="s">
        <v>59</v>
      </c>
      <c r="D637" s="6" t="s">
        <v>82</v>
      </c>
      <c r="E637" s="6" t="s">
        <v>52</v>
      </c>
      <c r="F637" s="6" t="s">
        <v>38</v>
      </c>
      <c r="G637" s="6" t="s">
        <v>39</v>
      </c>
      <c r="H637" s="6" t="s">
        <v>23</v>
      </c>
      <c r="I637" s="7" t="n">
        <v>9.9</v>
      </c>
      <c r="J637" s="7" t="n">
        <v>18</v>
      </c>
      <c r="K637" s="6" t="s">
        <v>29</v>
      </c>
      <c r="L637" s="6" t="n">
        <v>86</v>
      </c>
      <c r="M637" s="7" t="n">
        <f aca="false">L637*J637</f>
        <v>1548</v>
      </c>
      <c r="N637" s="7" t="n">
        <f aca="false">L637*I637</f>
        <v>851.4</v>
      </c>
      <c r="O637" s="7" t="n">
        <f aca="false">M637-N637</f>
        <v>696.6</v>
      </c>
      <c r="P637" s="8" t="n">
        <f aca="false">IFERROR(O637/M637,0)</f>
        <v>0.45</v>
      </c>
    </row>
    <row r="638" customFormat="false" ht="15" hidden="false" customHeight="true" outlineLevel="0" collapsed="false">
      <c r="A638" s="3" t="s">
        <v>80</v>
      </c>
      <c r="B638" s="3" t="s">
        <v>81</v>
      </c>
      <c r="C638" s="3" t="s">
        <v>59</v>
      </c>
      <c r="D638" s="3" t="s">
        <v>82</v>
      </c>
      <c r="E638" s="3" t="s">
        <v>52</v>
      </c>
      <c r="F638" s="3" t="s">
        <v>40</v>
      </c>
      <c r="G638" s="3" t="s">
        <v>41</v>
      </c>
      <c r="H638" s="3" t="s">
        <v>42</v>
      </c>
      <c r="I638" s="4" t="n">
        <v>3.5</v>
      </c>
      <c r="J638" s="4" t="n">
        <v>6.5</v>
      </c>
      <c r="K638" s="3" t="s">
        <v>24</v>
      </c>
      <c r="L638" s="3" t="n">
        <v>191</v>
      </c>
      <c r="M638" s="4" t="n">
        <f aca="false">L638*J638</f>
        <v>1241.5</v>
      </c>
      <c r="N638" s="4" t="n">
        <f aca="false">L638*I638</f>
        <v>668.5</v>
      </c>
      <c r="O638" s="4" t="n">
        <f aca="false">M638-N638</f>
        <v>573</v>
      </c>
      <c r="P638" s="5" t="n">
        <f aca="false">IFERROR(O638/M638,0)</f>
        <v>0.461538461538462</v>
      </c>
    </row>
    <row r="639" customFormat="false" ht="15" hidden="false" customHeight="true" outlineLevel="0" collapsed="false">
      <c r="A639" s="6" t="s">
        <v>80</v>
      </c>
      <c r="B639" s="6" t="s">
        <v>81</v>
      </c>
      <c r="C639" s="6" t="s">
        <v>59</v>
      </c>
      <c r="D639" s="6" t="s">
        <v>82</v>
      </c>
      <c r="E639" s="6" t="s">
        <v>52</v>
      </c>
      <c r="F639" s="6" t="s">
        <v>40</v>
      </c>
      <c r="G639" s="6" t="s">
        <v>41</v>
      </c>
      <c r="H639" s="6" t="s">
        <v>42</v>
      </c>
      <c r="I639" s="7" t="n">
        <v>3.5</v>
      </c>
      <c r="J639" s="7" t="n">
        <v>6.5</v>
      </c>
      <c r="K639" s="6" t="s">
        <v>25</v>
      </c>
      <c r="L639" s="6" t="n">
        <v>229</v>
      </c>
      <c r="M639" s="7" t="n">
        <f aca="false">L639*J639</f>
        <v>1488.5</v>
      </c>
      <c r="N639" s="7" t="n">
        <f aca="false">L639*I639</f>
        <v>801.5</v>
      </c>
      <c r="O639" s="7" t="n">
        <f aca="false">M639-N639</f>
        <v>687</v>
      </c>
      <c r="P639" s="8" t="n">
        <f aca="false">IFERROR(O639/M639,0)</f>
        <v>0.461538461538462</v>
      </c>
    </row>
    <row r="640" customFormat="false" ht="15" hidden="false" customHeight="true" outlineLevel="0" collapsed="false">
      <c r="A640" s="3" t="s">
        <v>80</v>
      </c>
      <c r="B640" s="3" t="s">
        <v>81</v>
      </c>
      <c r="C640" s="3" t="s">
        <v>59</v>
      </c>
      <c r="D640" s="3" t="s">
        <v>82</v>
      </c>
      <c r="E640" s="3" t="s">
        <v>52</v>
      </c>
      <c r="F640" s="3" t="s">
        <v>40</v>
      </c>
      <c r="G640" s="3" t="s">
        <v>41</v>
      </c>
      <c r="H640" s="3" t="s">
        <v>42</v>
      </c>
      <c r="I640" s="4" t="n">
        <v>3.5</v>
      </c>
      <c r="J640" s="4" t="n">
        <v>6.5</v>
      </c>
      <c r="K640" s="3" t="s">
        <v>26</v>
      </c>
      <c r="L640" s="3" t="n">
        <v>261</v>
      </c>
      <c r="M640" s="4" t="n">
        <f aca="false">L640*J640</f>
        <v>1696.5</v>
      </c>
      <c r="N640" s="4" t="n">
        <f aca="false">L640*I640</f>
        <v>913.5</v>
      </c>
      <c r="O640" s="4" t="n">
        <f aca="false">M640-N640</f>
        <v>783</v>
      </c>
      <c r="P640" s="5" t="n">
        <f aca="false">IFERROR(O640/M640,0)</f>
        <v>0.461538461538462</v>
      </c>
    </row>
    <row r="641" customFormat="false" ht="15" hidden="false" customHeight="true" outlineLevel="0" collapsed="false">
      <c r="A641" s="6" t="s">
        <v>80</v>
      </c>
      <c r="B641" s="6" t="s">
        <v>81</v>
      </c>
      <c r="C641" s="6" t="s">
        <v>59</v>
      </c>
      <c r="D641" s="6" t="s">
        <v>82</v>
      </c>
      <c r="E641" s="6" t="s">
        <v>52</v>
      </c>
      <c r="F641" s="6" t="s">
        <v>40</v>
      </c>
      <c r="G641" s="6" t="s">
        <v>41</v>
      </c>
      <c r="H641" s="6" t="s">
        <v>42</v>
      </c>
      <c r="I641" s="7" t="n">
        <v>3.5</v>
      </c>
      <c r="J641" s="7" t="n">
        <v>6.5</v>
      </c>
      <c r="K641" s="6" t="s">
        <v>27</v>
      </c>
      <c r="L641" s="6" t="n">
        <v>194</v>
      </c>
      <c r="M641" s="7" t="n">
        <f aca="false">L641*J641</f>
        <v>1261</v>
      </c>
      <c r="N641" s="7" t="n">
        <f aca="false">L641*I641</f>
        <v>679</v>
      </c>
      <c r="O641" s="7" t="n">
        <f aca="false">M641-N641</f>
        <v>582</v>
      </c>
      <c r="P641" s="8" t="n">
        <f aca="false">IFERROR(O641/M641,0)</f>
        <v>0.461538461538462</v>
      </c>
    </row>
    <row r="642" customFormat="false" ht="15" hidden="false" customHeight="true" outlineLevel="0" collapsed="false">
      <c r="A642" s="3" t="s">
        <v>80</v>
      </c>
      <c r="B642" s="3" t="s">
        <v>81</v>
      </c>
      <c r="C642" s="3" t="s">
        <v>59</v>
      </c>
      <c r="D642" s="3" t="s">
        <v>82</v>
      </c>
      <c r="E642" s="3" t="s">
        <v>52</v>
      </c>
      <c r="F642" s="3" t="s">
        <v>40</v>
      </c>
      <c r="G642" s="3" t="s">
        <v>41</v>
      </c>
      <c r="H642" s="3" t="s">
        <v>42</v>
      </c>
      <c r="I642" s="4" t="n">
        <v>3.5</v>
      </c>
      <c r="J642" s="4" t="n">
        <v>6.5</v>
      </c>
      <c r="K642" s="3" t="s">
        <v>28</v>
      </c>
      <c r="L642" s="3" t="n">
        <v>227</v>
      </c>
      <c r="M642" s="4" t="n">
        <f aca="false">L642*J642</f>
        <v>1475.5</v>
      </c>
      <c r="N642" s="4" t="n">
        <f aca="false">L642*I642</f>
        <v>794.5</v>
      </c>
      <c r="O642" s="4" t="n">
        <f aca="false">M642-N642</f>
        <v>681</v>
      </c>
      <c r="P642" s="5" t="n">
        <f aca="false">IFERROR(O642/M642,0)</f>
        <v>0.461538461538462</v>
      </c>
    </row>
    <row r="643" customFormat="false" ht="15" hidden="false" customHeight="true" outlineLevel="0" collapsed="false">
      <c r="A643" s="6" t="s">
        <v>80</v>
      </c>
      <c r="B643" s="6" t="s">
        <v>81</v>
      </c>
      <c r="C643" s="6" t="s">
        <v>59</v>
      </c>
      <c r="D643" s="6" t="s">
        <v>82</v>
      </c>
      <c r="E643" s="6" t="s">
        <v>52</v>
      </c>
      <c r="F643" s="6" t="s">
        <v>40</v>
      </c>
      <c r="G643" s="6" t="s">
        <v>41</v>
      </c>
      <c r="H643" s="6" t="s">
        <v>42</v>
      </c>
      <c r="I643" s="7" t="n">
        <v>3.5</v>
      </c>
      <c r="J643" s="7" t="n">
        <v>6.5</v>
      </c>
      <c r="K643" s="6" t="s">
        <v>29</v>
      </c>
      <c r="L643" s="6" t="n">
        <v>115</v>
      </c>
      <c r="M643" s="7" t="n">
        <f aca="false">L643*J643</f>
        <v>747.5</v>
      </c>
      <c r="N643" s="7" t="n">
        <f aca="false">L643*I643</f>
        <v>402.5</v>
      </c>
      <c r="O643" s="7" t="n">
        <f aca="false">M643-N643</f>
        <v>345</v>
      </c>
      <c r="P643" s="8" t="n">
        <f aca="false">IFERROR(O643/M643,0)</f>
        <v>0.461538461538462</v>
      </c>
    </row>
    <row r="644" customFormat="false" ht="15" hidden="false" customHeight="true" outlineLevel="0" collapsed="false">
      <c r="A644" s="3" t="s">
        <v>80</v>
      </c>
      <c r="B644" s="3" t="s">
        <v>81</v>
      </c>
      <c r="C644" s="3" t="s">
        <v>59</v>
      </c>
      <c r="D644" s="3" t="s">
        <v>82</v>
      </c>
      <c r="E644" s="3" t="s">
        <v>52</v>
      </c>
      <c r="F644" s="3" t="s">
        <v>43</v>
      </c>
      <c r="G644" s="3" t="s">
        <v>44</v>
      </c>
      <c r="H644" s="3" t="s">
        <v>42</v>
      </c>
      <c r="I644" s="4" t="n">
        <v>2</v>
      </c>
      <c r="J644" s="4" t="n">
        <v>3.8</v>
      </c>
      <c r="K644" s="3" t="s">
        <v>24</v>
      </c>
      <c r="L644" s="3" t="n">
        <v>285</v>
      </c>
      <c r="M644" s="4" t="n">
        <f aca="false">L644*J644</f>
        <v>1083</v>
      </c>
      <c r="N644" s="4" t="n">
        <f aca="false">L644*I644</f>
        <v>570</v>
      </c>
      <c r="O644" s="4" t="n">
        <f aca="false">M644-N644</f>
        <v>513</v>
      </c>
      <c r="P644" s="5" t="n">
        <f aca="false">IFERROR(O644/M644,0)</f>
        <v>0.473684210526316</v>
      </c>
    </row>
    <row r="645" customFormat="false" ht="15" hidden="false" customHeight="true" outlineLevel="0" collapsed="false">
      <c r="A645" s="6" t="s">
        <v>80</v>
      </c>
      <c r="B645" s="6" t="s">
        <v>81</v>
      </c>
      <c r="C645" s="6" t="s">
        <v>59</v>
      </c>
      <c r="D645" s="6" t="s">
        <v>82</v>
      </c>
      <c r="E645" s="6" t="s">
        <v>52</v>
      </c>
      <c r="F645" s="6" t="s">
        <v>43</v>
      </c>
      <c r="G645" s="6" t="s">
        <v>44</v>
      </c>
      <c r="H645" s="6" t="s">
        <v>42</v>
      </c>
      <c r="I645" s="7" t="n">
        <v>2</v>
      </c>
      <c r="J645" s="7" t="n">
        <v>3.8</v>
      </c>
      <c r="K645" s="6" t="s">
        <v>25</v>
      </c>
      <c r="L645" s="6" t="n">
        <v>108</v>
      </c>
      <c r="M645" s="7" t="n">
        <f aca="false">L645*J645</f>
        <v>410.4</v>
      </c>
      <c r="N645" s="7" t="n">
        <f aca="false">L645*I645</f>
        <v>216</v>
      </c>
      <c r="O645" s="7" t="n">
        <f aca="false">M645-N645</f>
        <v>194.4</v>
      </c>
      <c r="P645" s="8" t="n">
        <f aca="false">IFERROR(O645/M645,0)</f>
        <v>0.473684210526316</v>
      </c>
    </row>
    <row r="646" customFormat="false" ht="15" hidden="false" customHeight="true" outlineLevel="0" collapsed="false">
      <c r="A646" s="3" t="s">
        <v>80</v>
      </c>
      <c r="B646" s="3" t="s">
        <v>81</v>
      </c>
      <c r="C646" s="3" t="s">
        <v>59</v>
      </c>
      <c r="D646" s="3" t="s">
        <v>82</v>
      </c>
      <c r="E646" s="3" t="s">
        <v>52</v>
      </c>
      <c r="F646" s="3" t="s">
        <v>43</v>
      </c>
      <c r="G646" s="3" t="s">
        <v>44</v>
      </c>
      <c r="H646" s="3" t="s">
        <v>42</v>
      </c>
      <c r="I646" s="4" t="n">
        <v>2</v>
      </c>
      <c r="J646" s="4" t="n">
        <v>3.8</v>
      </c>
      <c r="K646" s="3" t="s">
        <v>26</v>
      </c>
      <c r="L646" s="3" t="n">
        <v>151</v>
      </c>
      <c r="M646" s="4" t="n">
        <f aca="false">L646*J646</f>
        <v>573.8</v>
      </c>
      <c r="N646" s="4" t="n">
        <f aca="false">L646*I646</f>
        <v>302</v>
      </c>
      <c r="O646" s="4" t="n">
        <f aca="false">M646-N646</f>
        <v>271.8</v>
      </c>
      <c r="P646" s="5" t="n">
        <f aca="false">IFERROR(O646/M646,0)</f>
        <v>0.473684210526316</v>
      </c>
    </row>
    <row r="647" customFormat="false" ht="15" hidden="false" customHeight="true" outlineLevel="0" collapsed="false">
      <c r="A647" s="6" t="s">
        <v>80</v>
      </c>
      <c r="B647" s="6" t="s">
        <v>81</v>
      </c>
      <c r="C647" s="6" t="s">
        <v>59</v>
      </c>
      <c r="D647" s="6" t="s">
        <v>82</v>
      </c>
      <c r="E647" s="6" t="s">
        <v>52</v>
      </c>
      <c r="F647" s="6" t="s">
        <v>43</v>
      </c>
      <c r="G647" s="6" t="s">
        <v>44</v>
      </c>
      <c r="H647" s="6" t="s">
        <v>42</v>
      </c>
      <c r="I647" s="7" t="n">
        <v>2</v>
      </c>
      <c r="J647" s="7" t="n">
        <v>3.8</v>
      </c>
      <c r="K647" s="6" t="s">
        <v>27</v>
      </c>
      <c r="L647" s="6" t="n">
        <v>226</v>
      </c>
      <c r="M647" s="7" t="n">
        <f aca="false">L647*J647</f>
        <v>858.8</v>
      </c>
      <c r="N647" s="7" t="n">
        <f aca="false">L647*I647</f>
        <v>452</v>
      </c>
      <c r="O647" s="7" t="n">
        <f aca="false">M647-N647</f>
        <v>406.8</v>
      </c>
      <c r="P647" s="8" t="n">
        <f aca="false">IFERROR(O647/M647,0)</f>
        <v>0.473684210526316</v>
      </c>
    </row>
    <row r="648" customFormat="false" ht="15" hidden="false" customHeight="true" outlineLevel="0" collapsed="false">
      <c r="A648" s="3" t="s">
        <v>80</v>
      </c>
      <c r="B648" s="3" t="s">
        <v>81</v>
      </c>
      <c r="C648" s="3" t="s">
        <v>59</v>
      </c>
      <c r="D648" s="3" t="s">
        <v>82</v>
      </c>
      <c r="E648" s="3" t="s">
        <v>52</v>
      </c>
      <c r="F648" s="3" t="s">
        <v>43</v>
      </c>
      <c r="G648" s="3" t="s">
        <v>44</v>
      </c>
      <c r="H648" s="3" t="s">
        <v>42</v>
      </c>
      <c r="I648" s="4" t="n">
        <v>2</v>
      </c>
      <c r="J648" s="4" t="n">
        <v>3.8</v>
      </c>
      <c r="K648" s="3" t="s">
        <v>28</v>
      </c>
      <c r="L648" s="3" t="n">
        <v>254</v>
      </c>
      <c r="M648" s="4" t="n">
        <f aca="false">L648*J648</f>
        <v>965.2</v>
      </c>
      <c r="N648" s="4" t="n">
        <f aca="false">L648*I648</f>
        <v>508</v>
      </c>
      <c r="O648" s="4" t="n">
        <f aca="false">M648-N648</f>
        <v>457.2</v>
      </c>
      <c r="P648" s="5" t="n">
        <f aca="false">IFERROR(O648/M648,0)</f>
        <v>0.473684210526316</v>
      </c>
    </row>
    <row r="649" customFormat="false" ht="15" hidden="false" customHeight="true" outlineLevel="0" collapsed="false">
      <c r="A649" s="6" t="s">
        <v>80</v>
      </c>
      <c r="B649" s="6" t="s">
        <v>81</v>
      </c>
      <c r="C649" s="6" t="s">
        <v>59</v>
      </c>
      <c r="D649" s="6" t="s">
        <v>82</v>
      </c>
      <c r="E649" s="6" t="s">
        <v>52</v>
      </c>
      <c r="F649" s="6" t="s">
        <v>43</v>
      </c>
      <c r="G649" s="6" t="s">
        <v>44</v>
      </c>
      <c r="H649" s="6" t="s">
        <v>42</v>
      </c>
      <c r="I649" s="7" t="n">
        <v>2</v>
      </c>
      <c r="J649" s="7" t="n">
        <v>3.8</v>
      </c>
      <c r="K649" s="6" t="s">
        <v>29</v>
      </c>
      <c r="L649" s="6" t="n">
        <v>231</v>
      </c>
      <c r="M649" s="7" t="n">
        <f aca="false">L649*J649</f>
        <v>877.8</v>
      </c>
      <c r="N649" s="7" t="n">
        <f aca="false">L649*I649</f>
        <v>462</v>
      </c>
      <c r="O649" s="7" t="n">
        <f aca="false">M649-N649</f>
        <v>415.8</v>
      </c>
      <c r="P649" s="8" t="n">
        <f aca="false">IFERROR(O649/M649,0)</f>
        <v>0.473684210526316</v>
      </c>
    </row>
    <row r="650" customFormat="false" ht="15" hidden="false" customHeight="true" outlineLevel="0" collapsed="false">
      <c r="A650" s="3" t="s">
        <v>80</v>
      </c>
      <c r="B650" s="3" t="s">
        <v>81</v>
      </c>
      <c r="C650" s="3" t="s">
        <v>59</v>
      </c>
      <c r="D650" s="3" t="s">
        <v>82</v>
      </c>
      <c r="E650" s="3" t="s">
        <v>52</v>
      </c>
      <c r="F650" s="3" t="s">
        <v>45</v>
      </c>
      <c r="G650" s="3" t="s">
        <v>46</v>
      </c>
      <c r="H650" s="3" t="s">
        <v>42</v>
      </c>
      <c r="I650" s="4" t="n">
        <v>5</v>
      </c>
      <c r="J650" s="4" t="n">
        <v>10</v>
      </c>
      <c r="K650" s="3" t="s">
        <v>24</v>
      </c>
      <c r="L650" s="3" t="n">
        <v>148</v>
      </c>
      <c r="M650" s="4" t="n">
        <f aca="false">L650*J650</f>
        <v>1480</v>
      </c>
      <c r="N650" s="4" t="n">
        <f aca="false">L650*I650</f>
        <v>740</v>
      </c>
      <c r="O650" s="4" t="n">
        <f aca="false">M650-N650</f>
        <v>740</v>
      </c>
      <c r="P650" s="5" t="n">
        <f aca="false">IFERROR(O650/M650,0)</f>
        <v>0.5</v>
      </c>
    </row>
    <row r="651" customFormat="false" ht="15" hidden="false" customHeight="true" outlineLevel="0" collapsed="false">
      <c r="A651" s="6" t="s">
        <v>80</v>
      </c>
      <c r="B651" s="6" t="s">
        <v>81</v>
      </c>
      <c r="C651" s="6" t="s">
        <v>59</v>
      </c>
      <c r="D651" s="6" t="s">
        <v>82</v>
      </c>
      <c r="E651" s="6" t="s">
        <v>52</v>
      </c>
      <c r="F651" s="6" t="s">
        <v>45</v>
      </c>
      <c r="G651" s="6" t="s">
        <v>46</v>
      </c>
      <c r="H651" s="6" t="s">
        <v>42</v>
      </c>
      <c r="I651" s="7" t="n">
        <v>5</v>
      </c>
      <c r="J651" s="7" t="n">
        <v>10</v>
      </c>
      <c r="K651" s="6" t="s">
        <v>25</v>
      </c>
      <c r="L651" s="6" t="n">
        <v>49</v>
      </c>
      <c r="M651" s="7" t="n">
        <f aca="false">L651*J651</f>
        <v>490</v>
      </c>
      <c r="N651" s="7" t="n">
        <f aca="false">L651*I651</f>
        <v>245</v>
      </c>
      <c r="O651" s="7" t="n">
        <f aca="false">M651-N651</f>
        <v>245</v>
      </c>
      <c r="P651" s="8" t="n">
        <f aca="false">IFERROR(O651/M651,0)</f>
        <v>0.5</v>
      </c>
    </row>
    <row r="652" customFormat="false" ht="15" hidden="false" customHeight="true" outlineLevel="0" collapsed="false">
      <c r="A652" s="3" t="s">
        <v>80</v>
      </c>
      <c r="B652" s="3" t="s">
        <v>81</v>
      </c>
      <c r="C652" s="3" t="s">
        <v>59</v>
      </c>
      <c r="D652" s="3" t="s">
        <v>82</v>
      </c>
      <c r="E652" s="3" t="s">
        <v>52</v>
      </c>
      <c r="F652" s="3" t="s">
        <v>45</v>
      </c>
      <c r="G652" s="3" t="s">
        <v>46</v>
      </c>
      <c r="H652" s="3" t="s">
        <v>42</v>
      </c>
      <c r="I652" s="4" t="n">
        <v>5</v>
      </c>
      <c r="J652" s="4" t="n">
        <v>10</v>
      </c>
      <c r="K652" s="3" t="s">
        <v>26</v>
      </c>
      <c r="L652" s="3" t="n">
        <v>172</v>
      </c>
      <c r="M652" s="4" t="n">
        <f aca="false">L652*J652</f>
        <v>1720</v>
      </c>
      <c r="N652" s="4" t="n">
        <f aca="false">L652*I652</f>
        <v>860</v>
      </c>
      <c r="O652" s="4" t="n">
        <f aca="false">M652-N652</f>
        <v>860</v>
      </c>
      <c r="P652" s="5" t="n">
        <f aca="false">IFERROR(O652/M652,0)</f>
        <v>0.5</v>
      </c>
    </row>
    <row r="653" customFormat="false" ht="15" hidden="false" customHeight="true" outlineLevel="0" collapsed="false">
      <c r="A653" s="6" t="s">
        <v>80</v>
      </c>
      <c r="B653" s="6" t="s">
        <v>81</v>
      </c>
      <c r="C653" s="6" t="s">
        <v>59</v>
      </c>
      <c r="D653" s="6" t="s">
        <v>82</v>
      </c>
      <c r="E653" s="6" t="s">
        <v>52</v>
      </c>
      <c r="F653" s="6" t="s">
        <v>45</v>
      </c>
      <c r="G653" s="6" t="s">
        <v>46</v>
      </c>
      <c r="H653" s="6" t="s">
        <v>42</v>
      </c>
      <c r="I653" s="7" t="n">
        <v>5</v>
      </c>
      <c r="J653" s="7" t="n">
        <v>10</v>
      </c>
      <c r="K653" s="6" t="s">
        <v>27</v>
      </c>
      <c r="L653" s="6" t="n">
        <v>126</v>
      </c>
      <c r="M653" s="7" t="n">
        <f aca="false">L653*J653</f>
        <v>1260</v>
      </c>
      <c r="N653" s="7" t="n">
        <f aca="false">L653*I653</f>
        <v>630</v>
      </c>
      <c r="O653" s="7" t="n">
        <f aca="false">M653-N653</f>
        <v>630</v>
      </c>
      <c r="P653" s="8" t="n">
        <f aca="false">IFERROR(O653/M653,0)</f>
        <v>0.5</v>
      </c>
    </row>
    <row r="654" customFormat="false" ht="15" hidden="false" customHeight="true" outlineLevel="0" collapsed="false">
      <c r="A654" s="3" t="s">
        <v>80</v>
      </c>
      <c r="B654" s="3" t="s">
        <v>81</v>
      </c>
      <c r="C654" s="3" t="s">
        <v>59</v>
      </c>
      <c r="D654" s="3" t="s">
        <v>82</v>
      </c>
      <c r="E654" s="3" t="s">
        <v>52</v>
      </c>
      <c r="F654" s="3" t="s">
        <v>45</v>
      </c>
      <c r="G654" s="3" t="s">
        <v>46</v>
      </c>
      <c r="H654" s="3" t="s">
        <v>42</v>
      </c>
      <c r="I654" s="4" t="n">
        <v>5</v>
      </c>
      <c r="J654" s="4" t="n">
        <v>10</v>
      </c>
      <c r="K654" s="3" t="s">
        <v>28</v>
      </c>
      <c r="L654" s="3" t="n">
        <v>225</v>
      </c>
      <c r="M654" s="4" t="n">
        <f aca="false">L654*J654</f>
        <v>2250</v>
      </c>
      <c r="N654" s="4" t="n">
        <f aca="false">L654*I654</f>
        <v>1125</v>
      </c>
      <c r="O654" s="4" t="n">
        <f aca="false">M654-N654</f>
        <v>1125</v>
      </c>
      <c r="P654" s="5" t="n">
        <f aca="false">IFERROR(O654/M654,0)</f>
        <v>0.5</v>
      </c>
    </row>
    <row r="655" customFormat="false" ht="15" hidden="false" customHeight="true" outlineLevel="0" collapsed="false">
      <c r="A655" s="6" t="s">
        <v>80</v>
      </c>
      <c r="B655" s="6" t="s">
        <v>81</v>
      </c>
      <c r="C655" s="6" t="s">
        <v>59</v>
      </c>
      <c r="D655" s="6" t="s">
        <v>82</v>
      </c>
      <c r="E655" s="6" t="s">
        <v>52</v>
      </c>
      <c r="F655" s="6" t="s">
        <v>45</v>
      </c>
      <c r="G655" s="6" t="s">
        <v>46</v>
      </c>
      <c r="H655" s="6" t="s">
        <v>42</v>
      </c>
      <c r="I655" s="7" t="n">
        <v>5</v>
      </c>
      <c r="J655" s="7" t="n">
        <v>10</v>
      </c>
      <c r="K655" s="6" t="s">
        <v>29</v>
      </c>
      <c r="L655" s="6" t="n">
        <v>261</v>
      </c>
      <c r="M655" s="7" t="n">
        <f aca="false">L655*J655</f>
        <v>2610</v>
      </c>
      <c r="N655" s="7" t="n">
        <f aca="false">L655*I655</f>
        <v>1305</v>
      </c>
      <c r="O655" s="7" t="n">
        <f aca="false">M655-N655</f>
        <v>1305</v>
      </c>
      <c r="P655" s="8" t="n">
        <f aca="false">IFERROR(O655/M655,0)</f>
        <v>0.5</v>
      </c>
    </row>
    <row r="656" customFormat="false" ht="15" hidden="false" customHeight="true" outlineLevel="0" collapsed="false">
      <c r="A656" s="3" t="s">
        <v>80</v>
      </c>
      <c r="B656" s="3" t="s">
        <v>81</v>
      </c>
      <c r="C656" s="3" t="s">
        <v>59</v>
      </c>
      <c r="D656" s="3" t="s">
        <v>82</v>
      </c>
      <c r="E656" s="3" t="s">
        <v>52</v>
      </c>
      <c r="F656" s="3" t="s">
        <v>47</v>
      </c>
      <c r="G656" s="3" t="s">
        <v>48</v>
      </c>
      <c r="H656" s="3" t="s">
        <v>42</v>
      </c>
      <c r="I656" s="4" t="n">
        <v>2.8</v>
      </c>
      <c r="J656" s="4" t="n">
        <v>5.5</v>
      </c>
      <c r="K656" s="3" t="s">
        <v>24</v>
      </c>
      <c r="L656" s="3" t="n">
        <v>116</v>
      </c>
      <c r="M656" s="4" t="n">
        <f aca="false">L656*J656</f>
        <v>638</v>
      </c>
      <c r="N656" s="4" t="n">
        <f aca="false">L656*I656</f>
        <v>324.8</v>
      </c>
      <c r="O656" s="4" t="n">
        <f aca="false">M656-N656</f>
        <v>313.2</v>
      </c>
      <c r="P656" s="5" t="n">
        <f aca="false">IFERROR(O656/M656,0)</f>
        <v>0.490909090909091</v>
      </c>
    </row>
    <row r="657" customFormat="false" ht="15" hidden="false" customHeight="true" outlineLevel="0" collapsed="false">
      <c r="A657" s="6" t="s">
        <v>80</v>
      </c>
      <c r="B657" s="6" t="s">
        <v>81</v>
      </c>
      <c r="C657" s="6" t="s">
        <v>59</v>
      </c>
      <c r="D657" s="6" t="s">
        <v>82</v>
      </c>
      <c r="E657" s="6" t="s">
        <v>52</v>
      </c>
      <c r="F657" s="6" t="s">
        <v>47</v>
      </c>
      <c r="G657" s="6" t="s">
        <v>48</v>
      </c>
      <c r="H657" s="6" t="s">
        <v>42</v>
      </c>
      <c r="I657" s="7" t="n">
        <v>2.8</v>
      </c>
      <c r="J657" s="7" t="n">
        <v>5.5</v>
      </c>
      <c r="K657" s="6" t="s">
        <v>25</v>
      </c>
      <c r="L657" s="6" t="n">
        <v>215</v>
      </c>
      <c r="M657" s="7" t="n">
        <f aca="false">L657*J657</f>
        <v>1182.5</v>
      </c>
      <c r="N657" s="7" t="n">
        <f aca="false">L657*I657</f>
        <v>602</v>
      </c>
      <c r="O657" s="7" t="n">
        <f aca="false">M657-N657</f>
        <v>580.5</v>
      </c>
      <c r="P657" s="8" t="n">
        <f aca="false">IFERROR(O657/M657,0)</f>
        <v>0.490909090909091</v>
      </c>
    </row>
    <row r="658" customFormat="false" ht="15" hidden="false" customHeight="true" outlineLevel="0" collapsed="false">
      <c r="A658" s="3" t="s">
        <v>80</v>
      </c>
      <c r="B658" s="3" t="s">
        <v>81</v>
      </c>
      <c r="C658" s="3" t="s">
        <v>59</v>
      </c>
      <c r="D658" s="3" t="s">
        <v>82</v>
      </c>
      <c r="E658" s="3" t="s">
        <v>52</v>
      </c>
      <c r="F658" s="3" t="s">
        <v>47</v>
      </c>
      <c r="G658" s="3" t="s">
        <v>48</v>
      </c>
      <c r="H658" s="3" t="s">
        <v>42</v>
      </c>
      <c r="I658" s="4" t="n">
        <v>2.8</v>
      </c>
      <c r="J658" s="4" t="n">
        <v>5.5</v>
      </c>
      <c r="K658" s="3" t="s">
        <v>26</v>
      </c>
      <c r="L658" s="3" t="n">
        <v>122</v>
      </c>
      <c r="M658" s="4" t="n">
        <f aca="false">L658*J658</f>
        <v>671</v>
      </c>
      <c r="N658" s="4" t="n">
        <f aca="false">L658*I658</f>
        <v>341.6</v>
      </c>
      <c r="O658" s="4" t="n">
        <f aca="false">M658-N658</f>
        <v>329.4</v>
      </c>
      <c r="P658" s="5" t="n">
        <f aca="false">IFERROR(O658/M658,0)</f>
        <v>0.490909090909091</v>
      </c>
    </row>
    <row r="659" customFormat="false" ht="15" hidden="false" customHeight="true" outlineLevel="0" collapsed="false">
      <c r="A659" s="6" t="s">
        <v>80</v>
      </c>
      <c r="B659" s="6" t="s">
        <v>81</v>
      </c>
      <c r="C659" s="6" t="s">
        <v>59</v>
      </c>
      <c r="D659" s="6" t="s">
        <v>82</v>
      </c>
      <c r="E659" s="6" t="s">
        <v>52</v>
      </c>
      <c r="F659" s="6" t="s">
        <v>47</v>
      </c>
      <c r="G659" s="6" t="s">
        <v>48</v>
      </c>
      <c r="H659" s="6" t="s">
        <v>42</v>
      </c>
      <c r="I659" s="7" t="n">
        <v>2.8</v>
      </c>
      <c r="J659" s="7" t="n">
        <v>5.5</v>
      </c>
      <c r="K659" s="6" t="s">
        <v>27</v>
      </c>
      <c r="L659" s="6" t="n">
        <v>39</v>
      </c>
      <c r="M659" s="7" t="n">
        <f aca="false">L659*J659</f>
        <v>214.5</v>
      </c>
      <c r="N659" s="7" t="n">
        <f aca="false">L659*I659</f>
        <v>109.2</v>
      </c>
      <c r="O659" s="7" t="n">
        <f aca="false">M659-N659</f>
        <v>105.3</v>
      </c>
      <c r="P659" s="8" t="n">
        <f aca="false">IFERROR(O659/M659,0)</f>
        <v>0.490909090909091</v>
      </c>
    </row>
    <row r="660" customFormat="false" ht="15" hidden="false" customHeight="true" outlineLevel="0" collapsed="false">
      <c r="A660" s="3" t="s">
        <v>80</v>
      </c>
      <c r="B660" s="3" t="s">
        <v>81</v>
      </c>
      <c r="C660" s="3" t="s">
        <v>59</v>
      </c>
      <c r="D660" s="3" t="s">
        <v>82</v>
      </c>
      <c r="E660" s="3" t="s">
        <v>52</v>
      </c>
      <c r="F660" s="3" t="s">
        <v>47</v>
      </c>
      <c r="G660" s="3" t="s">
        <v>48</v>
      </c>
      <c r="H660" s="3" t="s">
        <v>42</v>
      </c>
      <c r="I660" s="4" t="n">
        <v>2.8</v>
      </c>
      <c r="J660" s="4" t="n">
        <v>5.5</v>
      </c>
      <c r="K660" s="3" t="s">
        <v>28</v>
      </c>
      <c r="L660" s="3" t="n">
        <v>170</v>
      </c>
      <c r="M660" s="4" t="n">
        <f aca="false">L660*J660</f>
        <v>935</v>
      </c>
      <c r="N660" s="4" t="n">
        <f aca="false">L660*I660</f>
        <v>476</v>
      </c>
      <c r="O660" s="4" t="n">
        <f aca="false">M660-N660</f>
        <v>459</v>
      </c>
      <c r="P660" s="5" t="n">
        <f aca="false">IFERROR(O660/M660,0)</f>
        <v>0.490909090909091</v>
      </c>
    </row>
    <row r="661" customFormat="false" ht="15" hidden="false" customHeight="true" outlineLevel="0" collapsed="false">
      <c r="A661" s="6" t="s">
        <v>80</v>
      </c>
      <c r="B661" s="6" t="s">
        <v>81</v>
      </c>
      <c r="C661" s="6" t="s">
        <v>59</v>
      </c>
      <c r="D661" s="6" t="s">
        <v>82</v>
      </c>
      <c r="E661" s="6" t="s">
        <v>52</v>
      </c>
      <c r="F661" s="6" t="s">
        <v>47</v>
      </c>
      <c r="G661" s="6" t="s">
        <v>48</v>
      </c>
      <c r="H661" s="6" t="s">
        <v>42</v>
      </c>
      <c r="I661" s="7" t="n">
        <v>2.8</v>
      </c>
      <c r="J661" s="7" t="n">
        <v>5.5</v>
      </c>
      <c r="K661" s="6" t="s">
        <v>29</v>
      </c>
      <c r="L661" s="6" t="n">
        <v>321</v>
      </c>
      <c r="M661" s="7" t="n">
        <f aca="false">L661*J661</f>
        <v>1765.5</v>
      </c>
      <c r="N661" s="7" t="n">
        <f aca="false">L661*I661</f>
        <v>898.8</v>
      </c>
      <c r="O661" s="7" t="n">
        <f aca="false">M661-N661</f>
        <v>866.7</v>
      </c>
      <c r="P661" s="8" t="n">
        <f aca="false">IFERROR(O661/M661,0)</f>
        <v>0.490909090909091</v>
      </c>
    </row>
    <row r="662" customFormat="false" ht="15" hidden="false" customHeight="true" outlineLevel="0" collapsed="false">
      <c r="A662" s="3" t="s">
        <v>83</v>
      </c>
      <c r="B662" s="3" t="s">
        <v>84</v>
      </c>
      <c r="C662" s="3" t="s">
        <v>18</v>
      </c>
      <c r="D662" s="3" t="s">
        <v>85</v>
      </c>
      <c r="E662" s="3" t="s">
        <v>56</v>
      </c>
      <c r="F662" s="3" t="s">
        <v>21</v>
      </c>
      <c r="G662" s="3" t="s">
        <v>22</v>
      </c>
      <c r="H662" s="3" t="s">
        <v>23</v>
      </c>
      <c r="I662" s="4" t="n">
        <v>8.99</v>
      </c>
      <c r="J662" s="4" t="n">
        <v>22</v>
      </c>
      <c r="K662" s="3" t="s">
        <v>24</v>
      </c>
      <c r="L662" s="3" t="n">
        <v>199</v>
      </c>
      <c r="M662" s="4" t="n">
        <f aca="false">L662*J662</f>
        <v>4378</v>
      </c>
      <c r="N662" s="4" t="n">
        <f aca="false">L662*I662</f>
        <v>1789.01</v>
      </c>
      <c r="O662" s="4" t="n">
        <f aca="false">M662-N662</f>
        <v>2588.99</v>
      </c>
      <c r="P662" s="5" t="n">
        <f aca="false">IFERROR(O662/M662,0)</f>
        <v>0.591363636363636</v>
      </c>
    </row>
    <row r="663" customFormat="false" ht="15" hidden="false" customHeight="true" outlineLevel="0" collapsed="false">
      <c r="A663" s="6" t="s">
        <v>83</v>
      </c>
      <c r="B663" s="6" t="s">
        <v>84</v>
      </c>
      <c r="C663" s="6" t="s">
        <v>18</v>
      </c>
      <c r="D663" s="6" t="s">
        <v>85</v>
      </c>
      <c r="E663" s="6" t="s">
        <v>56</v>
      </c>
      <c r="F663" s="6" t="s">
        <v>21</v>
      </c>
      <c r="G663" s="6" t="s">
        <v>22</v>
      </c>
      <c r="H663" s="6" t="s">
        <v>23</v>
      </c>
      <c r="I663" s="7" t="n">
        <v>8.99</v>
      </c>
      <c r="J663" s="7" t="n">
        <v>22</v>
      </c>
      <c r="K663" s="6" t="s">
        <v>25</v>
      </c>
      <c r="L663" s="6" t="n">
        <v>207</v>
      </c>
      <c r="M663" s="7" t="n">
        <f aca="false">L663*J663</f>
        <v>4554</v>
      </c>
      <c r="N663" s="7" t="n">
        <f aca="false">L663*I663</f>
        <v>1860.93</v>
      </c>
      <c r="O663" s="7" t="n">
        <f aca="false">M663-N663</f>
        <v>2693.07</v>
      </c>
      <c r="P663" s="8" t="n">
        <f aca="false">IFERROR(O663/M663,0)</f>
        <v>0.591363636363636</v>
      </c>
    </row>
    <row r="664" customFormat="false" ht="15" hidden="false" customHeight="true" outlineLevel="0" collapsed="false">
      <c r="A664" s="3" t="s">
        <v>83</v>
      </c>
      <c r="B664" s="3" t="s">
        <v>84</v>
      </c>
      <c r="C664" s="3" t="s">
        <v>18</v>
      </c>
      <c r="D664" s="3" t="s">
        <v>85</v>
      </c>
      <c r="E664" s="3" t="s">
        <v>56</v>
      </c>
      <c r="F664" s="3" t="s">
        <v>21</v>
      </c>
      <c r="G664" s="3" t="s">
        <v>22</v>
      </c>
      <c r="H664" s="3" t="s">
        <v>23</v>
      </c>
      <c r="I664" s="4" t="n">
        <v>8.99</v>
      </c>
      <c r="J664" s="4" t="n">
        <v>22</v>
      </c>
      <c r="K664" s="3" t="s">
        <v>26</v>
      </c>
      <c r="L664" s="3" t="n">
        <v>223</v>
      </c>
      <c r="M664" s="4" t="n">
        <f aca="false">L664*J664</f>
        <v>4906</v>
      </c>
      <c r="N664" s="4" t="n">
        <f aca="false">L664*I664</f>
        <v>2004.77</v>
      </c>
      <c r="O664" s="4" t="n">
        <f aca="false">M664-N664</f>
        <v>2901.23</v>
      </c>
      <c r="P664" s="5" t="n">
        <f aca="false">IFERROR(O664/M664,0)</f>
        <v>0.591363636363636</v>
      </c>
    </row>
    <row r="665" customFormat="false" ht="15" hidden="false" customHeight="true" outlineLevel="0" collapsed="false">
      <c r="A665" s="6" t="s">
        <v>83</v>
      </c>
      <c r="B665" s="6" t="s">
        <v>84</v>
      </c>
      <c r="C665" s="6" t="s">
        <v>18</v>
      </c>
      <c r="D665" s="6" t="s">
        <v>85</v>
      </c>
      <c r="E665" s="6" t="s">
        <v>56</v>
      </c>
      <c r="F665" s="6" t="s">
        <v>21</v>
      </c>
      <c r="G665" s="6" t="s">
        <v>22</v>
      </c>
      <c r="H665" s="6" t="s">
        <v>23</v>
      </c>
      <c r="I665" s="7" t="n">
        <v>8.99</v>
      </c>
      <c r="J665" s="7" t="n">
        <v>22</v>
      </c>
      <c r="K665" s="6" t="s">
        <v>27</v>
      </c>
      <c r="L665" s="6" t="n">
        <v>67</v>
      </c>
      <c r="M665" s="7" t="n">
        <f aca="false">L665*J665</f>
        <v>1474</v>
      </c>
      <c r="N665" s="7" t="n">
        <f aca="false">L665*I665</f>
        <v>602.33</v>
      </c>
      <c r="O665" s="7" t="n">
        <f aca="false">M665-N665</f>
        <v>871.67</v>
      </c>
      <c r="P665" s="8" t="n">
        <f aca="false">IFERROR(O665/M665,0)</f>
        <v>0.591363636363636</v>
      </c>
    </row>
    <row r="666" customFormat="false" ht="15" hidden="false" customHeight="true" outlineLevel="0" collapsed="false">
      <c r="A666" s="3" t="s">
        <v>83</v>
      </c>
      <c r="B666" s="3" t="s">
        <v>84</v>
      </c>
      <c r="C666" s="3" t="s">
        <v>18</v>
      </c>
      <c r="D666" s="3" t="s">
        <v>85</v>
      </c>
      <c r="E666" s="3" t="s">
        <v>56</v>
      </c>
      <c r="F666" s="3" t="s">
        <v>21</v>
      </c>
      <c r="G666" s="3" t="s">
        <v>22</v>
      </c>
      <c r="H666" s="3" t="s">
        <v>23</v>
      </c>
      <c r="I666" s="4" t="n">
        <v>8.99</v>
      </c>
      <c r="J666" s="4" t="n">
        <v>22</v>
      </c>
      <c r="K666" s="3" t="s">
        <v>28</v>
      </c>
      <c r="L666" s="3" t="n">
        <v>125</v>
      </c>
      <c r="M666" s="4" t="n">
        <f aca="false">L666*J666</f>
        <v>2750</v>
      </c>
      <c r="N666" s="4" t="n">
        <f aca="false">L666*I666</f>
        <v>1123.75</v>
      </c>
      <c r="O666" s="4" t="n">
        <f aca="false">M666-N666</f>
        <v>1626.25</v>
      </c>
      <c r="P666" s="5" t="n">
        <f aca="false">IFERROR(O666/M666,0)</f>
        <v>0.591363636363636</v>
      </c>
    </row>
    <row r="667" customFormat="false" ht="15" hidden="false" customHeight="true" outlineLevel="0" collapsed="false">
      <c r="A667" s="6" t="s">
        <v>83</v>
      </c>
      <c r="B667" s="6" t="s">
        <v>84</v>
      </c>
      <c r="C667" s="6" t="s">
        <v>18</v>
      </c>
      <c r="D667" s="6" t="s">
        <v>85</v>
      </c>
      <c r="E667" s="6" t="s">
        <v>56</v>
      </c>
      <c r="F667" s="6" t="s">
        <v>21</v>
      </c>
      <c r="G667" s="6" t="s">
        <v>22</v>
      </c>
      <c r="H667" s="6" t="s">
        <v>23</v>
      </c>
      <c r="I667" s="7" t="n">
        <v>8.99</v>
      </c>
      <c r="J667" s="7" t="n">
        <v>22</v>
      </c>
      <c r="K667" s="6" t="s">
        <v>29</v>
      </c>
      <c r="L667" s="6" t="n">
        <v>63</v>
      </c>
      <c r="M667" s="7" t="n">
        <f aca="false">L667*J667</f>
        <v>1386</v>
      </c>
      <c r="N667" s="7" t="n">
        <f aca="false">L667*I667</f>
        <v>566.37</v>
      </c>
      <c r="O667" s="7" t="n">
        <f aca="false">M667-N667</f>
        <v>819.63</v>
      </c>
      <c r="P667" s="8" t="n">
        <f aca="false">IFERROR(O667/M667,0)</f>
        <v>0.591363636363636</v>
      </c>
    </row>
    <row r="668" customFormat="false" ht="15" hidden="false" customHeight="true" outlineLevel="0" collapsed="false">
      <c r="A668" s="3" t="s">
        <v>83</v>
      </c>
      <c r="B668" s="3" t="s">
        <v>84</v>
      </c>
      <c r="C668" s="3" t="s">
        <v>18</v>
      </c>
      <c r="D668" s="3" t="s">
        <v>85</v>
      </c>
      <c r="E668" s="3" t="s">
        <v>56</v>
      </c>
      <c r="F668" s="3" t="s">
        <v>30</v>
      </c>
      <c r="G668" s="3" t="s">
        <v>31</v>
      </c>
      <c r="H668" s="3" t="s">
        <v>23</v>
      </c>
      <c r="I668" s="4" t="n">
        <v>8.5</v>
      </c>
      <c r="J668" s="4" t="n">
        <v>21</v>
      </c>
      <c r="K668" s="3" t="s">
        <v>24</v>
      </c>
      <c r="L668" s="3" t="n">
        <v>173</v>
      </c>
      <c r="M668" s="4" t="n">
        <f aca="false">L668*J668</f>
        <v>3633</v>
      </c>
      <c r="N668" s="4" t="n">
        <f aca="false">L668*I668</f>
        <v>1470.5</v>
      </c>
      <c r="O668" s="4" t="n">
        <f aca="false">M668-N668</f>
        <v>2162.5</v>
      </c>
      <c r="P668" s="5" t="n">
        <f aca="false">IFERROR(O668/M668,0)</f>
        <v>0.595238095238095</v>
      </c>
    </row>
    <row r="669" customFormat="false" ht="15" hidden="false" customHeight="true" outlineLevel="0" collapsed="false">
      <c r="A669" s="6" t="s">
        <v>83</v>
      </c>
      <c r="B669" s="6" t="s">
        <v>84</v>
      </c>
      <c r="C669" s="6" t="s">
        <v>18</v>
      </c>
      <c r="D669" s="6" t="s">
        <v>85</v>
      </c>
      <c r="E669" s="6" t="s">
        <v>56</v>
      </c>
      <c r="F669" s="6" t="s">
        <v>30</v>
      </c>
      <c r="G669" s="6" t="s">
        <v>31</v>
      </c>
      <c r="H669" s="6" t="s">
        <v>23</v>
      </c>
      <c r="I669" s="7" t="n">
        <v>8.5</v>
      </c>
      <c r="J669" s="7" t="n">
        <v>21</v>
      </c>
      <c r="K669" s="6" t="s">
        <v>25</v>
      </c>
      <c r="L669" s="6" t="n">
        <v>239</v>
      </c>
      <c r="M669" s="7" t="n">
        <f aca="false">L669*J669</f>
        <v>5019</v>
      </c>
      <c r="N669" s="7" t="n">
        <f aca="false">L669*I669</f>
        <v>2031.5</v>
      </c>
      <c r="O669" s="7" t="n">
        <f aca="false">M669-N669</f>
        <v>2987.5</v>
      </c>
      <c r="P669" s="8" t="n">
        <f aca="false">IFERROR(O669/M669,0)</f>
        <v>0.595238095238095</v>
      </c>
    </row>
    <row r="670" customFormat="false" ht="15" hidden="false" customHeight="true" outlineLevel="0" collapsed="false">
      <c r="A670" s="3" t="s">
        <v>83</v>
      </c>
      <c r="B670" s="3" t="s">
        <v>84</v>
      </c>
      <c r="C670" s="3" t="s">
        <v>18</v>
      </c>
      <c r="D670" s="3" t="s">
        <v>85</v>
      </c>
      <c r="E670" s="3" t="s">
        <v>56</v>
      </c>
      <c r="F670" s="3" t="s">
        <v>30</v>
      </c>
      <c r="G670" s="3" t="s">
        <v>31</v>
      </c>
      <c r="H670" s="3" t="s">
        <v>23</v>
      </c>
      <c r="I670" s="4" t="n">
        <v>8.5</v>
      </c>
      <c r="J670" s="4" t="n">
        <v>21</v>
      </c>
      <c r="K670" s="3" t="s">
        <v>26</v>
      </c>
      <c r="L670" s="3" t="n">
        <v>284</v>
      </c>
      <c r="M670" s="4" t="n">
        <f aca="false">L670*J670</f>
        <v>5964</v>
      </c>
      <c r="N670" s="4" t="n">
        <f aca="false">L670*I670</f>
        <v>2414</v>
      </c>
      <c r="O670" s="4" t="n">
        <f aca="false">M670-N670</f>
        <v>3550</v>
      </c>
      <c r="P670" s="5" t="n">
        <f aca="false">IFERROR(O670/M670,0)</f>
        <v>0.595238095238095</v>
      </c>
    </row>
    <row r="671" customFormat="false" ht="15" hidden="false" customHeight="true" outlineLevel="0" collapsed="false">
      <c r="A671" s="6" t="s">
        <v>83</v>
      </c>
      <c r="B671" s="6" t="s">
        <v>84</v>
      </c>
      <c r="C671" s="6" t="s">
        <v>18</v>
      </c>
      <c r="D671" s="6" t="s">
        <v>85</v>
      </c>
      <c r="E671" s="6" t="s">
        <v>56</v>
      </c>
      <c r="F671" s="6" t="s">
        <v>30</v>
      </c>
      <c r="G671" s="6" t="s">
        <v>31</v>
      </c>
      <c r="H671" s="6" t="s">
        <v>23</v>
      </c>
      <c r="I671" s="7" t="n">
        <v>8.5</v>
      </c>
      <c r="J671" s="7" t="n">
        <v>21</v>
      </c>
      <c r="K671" s="6" t="s">
        <v>27</v>
      </c>
      <c r="L671" s="6" t="n">
        <v>173</v>
      </c>
      <c r="M671" s="7" t="n">
        <f aca="false">L671*J671</f>
        <v>3633</v>
      </c>
      <c r="N671" s="7" t="n">
        <f aca="false">L671*I671</f>
        <v>1470.5</v>
      </c>
      <c r="O671" s="7" t="n">
        <f aca="false">M671-N671</f>
        <v>2162.5</v>
      </c>
      <c r="P671" s="8" t="n">
        <f aca="false">IFERROR(O671/M671,0)</f>
        <v>0.595238095238095</v>
      </c>
    </row>
    <row r="672" customFormat="false" ht="15" hidden="false" customHeight="true" outlineLevel="0" collapsed="false">
      <c r="A672" s="3" t="s">
        <v>83</v>
      </c>
      <c r="B672" s="3" t="s">
        <v>84</v>
      </c>
      <c r="C672" s="3" t="s">
        <v>18</v>
      </c>
      <c r="D672" s="3" t="s">
        <v>85</v>
      </c>
      <c r="E672" s="3" t="s">
        <v>56</v>
      </c>
      <c r="F672" s="3" t="s">
        <v>30</v>
      </c>
      <c r="G672" s="3" t="s">
        <v>31</v>
      </c>
      <c r="H672" s="3" t="s">
        <v>23</v>
      </c>
      <c r="I672" s="4" t="n">
        <v>8.5</v>
      </c>
      <c r="J672" s="4" t="n">
        <v>21</v>
      </c>
      <c r="K672" s="3" t="s">
        <v>28</v>
      </c>
      <c r="L672" s="3" t="n">
        <v>343</v>
      </c>
      <c r="M672" s="4" t="n">
        <f aca="false">L672*J672</f>
        <v>7203</v>
      </c>
      <c r="N672" s="4" t="n">
        <f aca="false">L672*I672</f>
        <v>2915.5</v>
      </c>
      <c r="O672" s="4" t="n">
        <f aca="false">M672-N672</f>
        <v>4287.5</v>
      </c>
      <c r="P672" s="5" t="n">
        <f aca="false">IFERROR(O672/M672,0)</f>
        <v>0.595238095238095</v>
      </c>
    </row>
    <row r="673" customFormat="false" ht="15" hidden="false" customHeight="true" outlineLevel="0" collapsed="false">
      <c r="A673" s="6" t="s">
        <v>83</v>
      </c>
      <c r="B673" s="6" t="s">
        <v>84</v>
      </c>
      <c r="C673" s="6" t="s">
        <v>18</v>
      </c>
      <c r="D673" s="6" t="s">
        <v>85</v>
      </c>
      <c r="E673" s="6" t="s">
        <v>56</v>
      </c>
      <c r="F673" s="6" t="s">
        <v>30</v>
      </c>
      <c r="G673" s="6" t="s">
        <v>31</v>
      </c>
      <c r="H673" s="6" t="s">
        <v>23</v>
      </c>
      <c r="I673" s="7" t="n">
        <v>8.5</v>
      </c>
      <c r="J673" s="7" t="n">
        <v>21</v>
      </c>
      <c r="K673" s="6" t="s">
        <v>29</v>
      </c>
      <c r="L673" s="6" t="n">
        <v>270</v>
      </c>
      <c r="M673" s="7" t="n">
        <f aca="false">L673*J673</f>
        <v>5670</v>
      </c>
      <c r="N673" s="7" t="n">
        <f aca="false">L673*I673</f>
        <v>2295</v>
      </c>
      <c r="O673" s="7" t="n">
        <f aca="false">M673-N673</f>
        <v>3375</v>
      </c>
      <c r="P673" s="8" t="n">
        <f aca="false">IFERROR(O673/M673,0)</f>
        <v>0.595238095238095</v>
      </c>
    </row>
    <row r="674" customFormat="false" ht="15" hidden="false" customHeight="true" outlineLevel="0" collapsed="false">
      <c r="A674" s="3" t="s">
        <v>83</v>
      </c>
      <c r="B674" s="3" t="s">
        <v>84</v>
      </c>
      <c r="C674" s="3" t="s">
        <v>18</v>
      </c>
      <c r="D674" s="3" t="s">
        <v>85</v>
      </c>
      <c r="E674" s="3" t="s">
        <v>56</v>
      </c>
      <c r="F674" s="3" t="s">
        <v>32</v>
      </c>
      <c r="G674" s="3" t="s">
        <v>33</v>
      </c>
      <c r="H674" s="3" t="s">
        <v>23</v>
      </c>
      <c r="I674" s="4" t="n">
        <v>2.5</v>
      </c>
      <c r="J674" s="4" t="n">
        <v>4.5</v>
      </c>
      <c r="K674" s="3" t="s">
        <v>24</v>
      </c>
      <c r="L674" s="3" t="n">
        <v>85</v>
      </c>
      <c r="M674" s="4" t="n">
        <f aca="false">L674*J674</f>
        <v>382.5</v>
      </c>
      <c r="N674" s="4" t="n">
        <f aca="false">L674*I674</f>
        <v>212.5</v>
      </c>
      <c r="O674" s="4" t="n">
        <f aca="false">M674-N674</f>
        <v>170</v>
      </c>
      <c r="P674" s="5" t="n">
        <f aca="false">IFERROR(O674/M674,0)</f>
        <v>0.444444444444444</v>
      </c>
    </row>
    <row r="675" customFormat="false" ht="15" hidden="false" customHeight="true" outlineLevel="0" collapsed="false">
      <c r="A675" s="6" t="s">
        <v>83</v>
      </c>
      <c r="B675" s="6" t="s">
        <v>84</v>
      </c>
      <c r="C675" s="6" t="s">
        <v>18</v>
      </c>
      <c r="D675" s="6" t="s">
        <v>85</v>
      </c>
      <c r="E675" s="6" t="s">
        <v>56</v>
      </c>
      <c r="F675" s="6" t="s">
        <v>32</v>
      </c>
      <c r="G675" s="6" t="s">
        <v>33</v>
      </c>
      <c r="H675" s="6" t="s">
        <v>23</v>
      </c>
      <c r="I675" s="7" t="n">
        <v>2.5</v>
      </c>
      <c r="J675" s="7" t="n">
        <v>4.5</v>
      </c>
      <c r="K675" s="6" t="s">
        <v>25</v>
      </c>
      <c r="L675" s="6" t="n">
        <v>271</v>
      </c>
      <c r="M675" s="7" t="n">
        <f aca="false">L675*J675</f>
        <v>1219.5</v>
      </c>
      <c r="N675" s="7" t="n">
        <f aca="false">L675*I675</f>
        <v>677.5</v>
      </c>
      <c r="O675" s="7" t="n">
        <f aca="false">M675-N675</f>
        <v>542</v>
      </c>
      <c r="P675" s="8" t="n">
        <f aca="false">IFERROR(O675/M675,0)</f>
        <v>0.444444444444444</v>
      </c>
    </row>
    <row r="676" customFormat="false" ht="15" hidden="false" customHeight="true" outlineLevel="0" collapsed="false">
      <c r="A676" s="3" t="s">
        <v>83</v>
      </c>
      <c r="B676" s="3" t="s">
        <v>84</v>
      </c>
      <c r="C676" s="3" t="s">
        <v>18</v>
      </c>
      <c r="D676" s="3" t="s">
        <v>85</v>
      </c>
      <c r="E676" s="3" t="s">
        <v>56</v>
      </c>
      <c r="F676" s="3" t="s">
        <v>32</v>
      </c>
      <c r="G676" s="3" t="s">
        <v>33</v>
      </c>
      <c r="H676" s="3" t="s">
        <v>23</v>
      </c>
      <c r="I676" s="4" t="n">
        <v>2.5</v>
      </c>
      <c r="J676" s="4" t="n">
        <v>4.5</v>
      </c>
      <c r="K676" s="3" t="s">
        <v>26</v>
      </c>
      <c r="L676" s="3" t="n">
        <v>196</v>
      </c>
      <c r="M676" s="4" t="n">
        <f aca="false">L676*J676</f>
        <v>882</v>
      </c>
      <c r="N676" s="4" t="n">
        <f aca="false">L676*I676</f>
        <v>490</v>
      </c>
      <c r="O676" s="4" t="n">
        <f aca="false">M676-N676</f>
        <v>392</v>
      </c>
      <c r="P676" s="5" t="n">
        <f aca="false">IFERROR(O676/M676,0)</f>
        <v>0.444444444444444</v>
      </c>
    </row>
    <row r="677" customFormat="false" ht="15" hidden="false" customHeight="true" outlineLevel="0" collapsed="false">
      <c r="A677" s="6" t="s">
        <v>83</v>
      </c>
      <c r="B677" s="6" t="s">
        <v>84</v>
      </c>
      <c r="C677" s="6" t="s">
        <v>18</v>
      </c>
      <c r="D677" s="6" t="s">
        <v>85</v>
      </c>
      <c r="E677" s="6" t="s">
        <v>56</v>
      </c>
      <c r="F677" s="6" t="s">
        <v>32</v>
      </c>
      <c r="G677" s="6" t="s">
        <v>33</v>
      </c>
      <c r="H677" s="6" t="s">
        <v>23</v>
      </c>
      <c r="I677" s="7" t="n">
        <v>2.5</v>
      </c>
      <c r="J677" s="7" t="n">
        <v>4.5</v>
      </c>
      <c r="K677" s="6" t="s">
        <v>27</v>
      </c>
      <c r="L677" s="6" t="n">
        <v>151</v>
      </c>
      <c r="M677" s="7" t="n">
        <f aca="false">L677*J677</f>
        <v>679.5</v>
      </c>
      <c r="N677" s="7" t="n">
        <f aca="false">L677*I677</f>
        <v>377.5</v>
      </c>
      <c r="O677" s="7" t="n">
        <f aca="false">M677-N677</f>
        <v>302</v>
      </c>
      <c r="P677" s="8" t="n">
        <f aca="false">IFERROR(O677/M677,0)</f>
        <v>0.444444444444444</v>
      </c>
    </row>
    <row r="678" customFormat="false" ht="15" hidden="false" customHeight="true" outlineLevel="0" collapsed="false">
      <c r="A678" s="3" t="s">
        <v>83</v>
      </c>
      <c r="B678" s="3" t="s">
        <v>84</v>
      </c>
      <c r="C678" s="3" t="s">
        <v>18</v>
      </c>
      <c r="D678" s="3" t="s">
        <v>85</v>
      </c>
      <c r="E678" s="3" t="s">
        <v>56</v>
      </c>
      <c r="F678" s="3" t="s">
        <v>32</v>
      </c>
      <c r="G678" s="3" t="s">
        <v>33</v>
      </c>
      <c r="H678" s="3" t="s">
        <v>23</v>
      </c>
      <c r="I678" s="4" t="n">
        <v>2.5</v>
      </c>
      <c r="J678" s="4" t="n">
        <v>4.5</v>
      </c>
      <c r="K678" s="3" t="s">
        <v>28</v>
      </c>
      <c r="L678" s="3" t="n">
        <v>59</v>
      </c>
      <c r="M678" s="4" t="n">
        <f aca="false">L678*J678</f>
        <v>265.5</v>
      </c>
      <c r="N678" s="4" t="n">
        <f aca="false">L678*I678</f>
        <v>147.5</v>
      </c>
      <c r="O678" s="4" t="n">
        <f aca="false">M678-N678</f>
        <v>118</v>
      </c>
      <c r="P678" s="5" t="n">
        <f aca="false">IFERROR(O678/M678,0)</f>
        <v>0.444444444444444</v>
      </c>
    </row>
    <row r="679" customFormat="false" ht="15" hidden="false" customHeight="true" outlineLevel="0" collapsed="false">
      <c r="A679" s="6" t="s">
        <v>83</v>
      </c>
      <c r="B679" s="6" t="s">
        <v>84</v>
      </c>
      <c r="C679" s="6" t="s">
        <v>18</v>
      </c>
      <c r="D679" s="6" t="s">
        <v>85</v>
      </c>
      <c r="E679" s="6" t="s">
        <v>56</v>
      </c>
      <c r="F679" s="6" t="s">
        <v>32</v>
      </c>
      <c r="G679" s="6" t="s">
        <v>33</v>
      </c>
      <c r="H679" s="6" t="s">
        <v>23</v>
      </c>
      <c r="I679" s="7" t="n">
        <v>2.5</v>
      </c>
      <c r="J679" s="7" t="n">
        <v>4.5</v>
      </c>
      <c r="K679" s="6" t="s">
        <v>29</v>
      </c>
      <c r="L679" s="6" t="n">
        <v>173</v>
      </c>
      <c r="M679" s="7" t="n">
        <f aca="false">L679*J679</f>
        <v>778.5</v>
      </c>
      <c r="N679" s="7" t="n">
        <f aca="false">L679*I679</f>
        <v>432.5</v>
      </c>
      <c r="O679" s="7" t="n">
        <f aca="false">M679-N679</f>
        <v>346</v>
      </c>
      <c r="P679" s="8" t="n">
        <f aca="false">IFERROR(O679/M679,0)</f>
        <v>0.444444444444444</v>
      </c>
    </row>
    <row r="680" customFormat="false" ht="15" hidden="false" customHeight="true" outlineLevel="0" collapsed="false">
      <c r="A680" s="3" t="s">
        <v>83</v>
      </c>
      <c r="B680" s="3" t="s">
        <v>84</v>
      </c>
      <c r="C680" s="3" t="s">
        <v>18</v>
      </c>
      <c r="D680" s="3" t="s">
        <v>85</v>
      </c>
      <c r="E680" s="3" t="s">
        <v>56</v>
      </c>
      <c r="F680" s="3" t="s">
        <v>34</v>
      </c>
      <c r="G680" s="3" t="s">
        <v>35</v>
      </c>
      <c r="H680" s="3" t="s">
        <v>23</v>
      </c>
      <c r="I680" s="4" t="n">
        <v>6</v>
      </c>
      <c r="J680" s="4" t="n">
        <v>12.5</v>
      </c>
      <c r="K680" s="3" t="s">
        <v>24</v>
      </c>
      <c r="L680" s="3" t="n">
        <v>132</v>
      </c>
      <c r="M680" s="4" t="n">
        <f aca="false">L680*J680</f>
        <v>1650</v>
      </c>
      <c r="N680" s="4" t="n">
        <f aca="false">L680*I680</f>
        <v>792</v>
      </c>
      <c r="O680" s="4" t="n">
        <f aca="false">M680-N680</f>
        <v>858</v>
      </c>
      <c r="P680" s="5" t="n">
        <f aca="false">IFERROR(O680/M680,0)</f>
        <v>0.52</v>
      </c>
    </row>
    <row r="681" customFormat="false" ht="15" hidden="false" customHeight="true" outlineLevel="0" collapsed="false">
      <c r="A681" s="6" t="s">
        <v>83</v>
      </c>
      <c r="B681" s="6" t="s">
        <v>84</v>
      </c>
      <c r="C681" s="6" t="s">
        <v>18</v>
      </c>
      <c r="D681" s="6" t="s">
        <v>85</v>
      </c>
      <c r="E681" s="6" t="s">
        <v>56</v>
      </c>
      <c r="F681" s="6" t="s">
        <v>34</v>
      </c>
      <c r="G681" s="6" t="s">
        <v>35</v>
      </c>
      <c r="H681" s="6" t="s">
        <v>23</v>
      </c>
      <c r="I681" s="7" t="n">
        <v>6</v>
      </c>
      <c r="J681" s="7" t="n">
        <v>12.5</v>
      </c>
      <c r="K681" s="6" t="s">
        <v>25</v>
      </c>
      <c r="L681" s="6" t="n">
        <v>151</v>
      </c>
      <c r="M681" s="7" t="n">
        <f aca="false">L681*J681</f>
        <v>1887.5</v>
      </c>
      <c r="N681" s="7" t="n">
        <f aca="false">L681*I681</f>
        <v>906</v>
      </c>
      <c r="O681" s="7" t="n">
        <f aca="false">M681-N681</f>
        <v>981.5</v>
      </c>
      <c r="P681" s="8" t="n">
        <f aca="false">IFERROR(O681/M681,0)</f>
        <v>0.52</v>
      </c>
    </row>
    <row r="682" customFormat="false" ht="15" hidden="false" customHeight="true" outlineLevel="0" collapsed="false">
      <c r="A682" s="3" t="s">
        <v>83</v>
      </c>
      <c r="B682" s="3" t="s">
        <v>84</v>
      </c>
      <c r="C682" s="3" t="s">
        <v>18</v>
      </c>
      <c r="D682" s="3" t="s">
        <v>85</v>
      </c>
      <c r="E682" s="3" t="s">
        <v>56</v>
      </c>
      <c r="F682" s="3" t="s">
        <v>34</v>
      </c>
      <c r="G682" s="3" t="s">
        <v>35</v>
      </c>
      <c r="H682" s="3" t="s">
        <v>23</v>
      </c>
      <c r="I682" s="4" t="n">
        <v>6</v>
      </c>
      <c r="J682" s="4" t="n">
        <v>12.5</v>
      </c>
      <c r="K682" s="3" t="s">
        <v>26</v>
      </c>
      <c r="L682" s="3" t="n">
        <v>209</v>
      </c>
      <c r="M682" s="4" t="n">
        <f aca="false">L682*J682</f>
        <v>2612.5</v>
      </c>
      <c r="N682" s="4" t="n">
        <f aca="false">L682*I682</f>
        <v>1254</v>
      </c>
      <c r="O682" s="4" t="n">
        <f aca="false">M682-N682</f>
        <v>1358.5</v>
      </c>
      <c r="P682" s="5" t="n">
        <f aca="false">IFERROR(O682/M682,0)</f>
        <v>0.52</v>
      </c>
    </row>
    <row r="683" customFormat="false" ht="15" hidden="false" customHeight="true" outlineLevel="0" collapsed="false">
      <c r="A683" s="6" t="s">
        <v>83</v>
      </c>
      <c r="B683" s="6" t="s">
        <v>84</v>
      </c>
      <c r="C683" s="6" t="s">
        <v>18</v>
      </c>
      <c r="D683" s="6" t="s">
        <v>85</v>
      </c>
      <c r="E683" s="6" t="s">
        <v>56</v>
      </c>
      <c r="F683" s="6" t="s">
        <v>34</v>
      </c>
      <c r="G683" s="6" t="s">
        <v>35</v>
      </c>
      <c r="H683" s="6" t="s">
        <v>23</v>
      </c>
      <c r="I683" s="7" t="n">
        <v>6</v>
      </c>
      <c r="J683" s="7" t="n">
        <v>12.5</v>
      </c>
      <c r="K683" s="6" t="s">
        <v>27</v>
      </c>
      <c r="L683" s="6" t="n">
        <v>39</v>
      </c>
      <c r="M683" s="7" t="n">
        <f aca="false">L683*J683</f>
        <v>487.5</v>
      </c>
      <c r="N683" s="7" t="n">
        <f aca="false">L683*I683</f>
        <v>234</v>
      </c>
      <c r="O683" s="7" t="n">
        <f aca="false">M683-N683</f>
        <v>253.5</v>
      </c>
      <c r="P683" s="8" t="n">
        <f aca="false">IFERROR(O683/M683,0)</f>
        <v>0.52</v>
      </c>
    </row>
    <row r="684" customFormat="false" ht="15" hidden="false" customHeight="true" outlineLevel="0" collapsed="false">
      <c r="A684" s="3" t="s">
        <v>83</v>
      </c>
      <c r="B684" s="3" t="s">
        <v>84</v>
      </c>
      <c r="C684" s="3" t="s">
        <v>18</v>
      </c>
      <c r="D684" s="3" t="s">
        <v>85</v>
      </c>
      <c r="E684" s="3" t="s">
        <v>56</v>
      </c>
      <c r="F684" s="3" t="s">
        <v>34</v>
      </c>
      <c r="G684" s="3" t="s">
        <v>35</v>
      </c>
      <c r="H684" s="3" t="s">
        <v>23</v>
      </c>
      <c r="I684" s="4" t="n">
        <v>6</v>
      </c>
      <c r="J684" s="4" t="n">
        <v>12.5</v>
      </c>
      <c r="K684" s="3" t="s">
        <v>28</v>
      </c>
      <c r="L684" s="3" t="n">
        <v>295</v>
      </c>
      <c r="M684" s="4" t="n">
        <f aca="false">L684*J684</f>
        <v>3687.5</v>
      </c>
      <c r="N684" s="4" t="n">
        <f aca="false">L684*I684</f>
        <v>1770</v>
      </c>
      <c r="O684" s="4" t="n">
        <f aca="false">M684-N684</f>
        <v>1917.5</v>
      </c>
      <c r="P684" s="5" t="n">
        <f aca="false">IFERROR(O684/M684,0)</f>
        <v>0.52</v>
      </c>
    </row>
    <row r="685" customFormat="false" ht="15" hidden="false" customHeight="true" outlineLevel="0" collapsed="false">
      <c r="A685" s="6" t="s">
        <v>83</v>
      </c>
      <c r="B685" s="6" t="s">
        <v>84</v>
      </c>
      <c r="C685" s="6" t="s">
        <v>18</v>
      </c>
      <c r="D685" s="6" t="s">
        <v>85</v>
      </c>
      <c r="E685" s="6" t="s">
        <v>56</v>
      </c>
      <c r="F685" s="6" t="s">
        <v>34</v>
      </c>
      <c r="G685" s="6" t="s">
        <v>35</v>
      </c>
      <c r="H685" s="6" t="s">
        <v>23</v>
      </c>
      <c r="I685" s="7" t="n">
        <v>6</v>
      </c>
      <c r="J685" s="7" t="n">
        <v>12.5</v>
      </c>
      <c r="K685" s="6" t="s">
        <v>29</v>
      </c>
      <c r="L685" s="6" t="n">
        <v>126</v>
      </c>
      <c r="M685" s="7" t="n">
        <f aca="false">L685*J685</f>
        <v>1575</v>
      </c>
      <c r="N685" s="7" t="n">
        <f aca="false">L685*I685</f>
        <v>756</v>
      </c>
      <c r="O685" s="7" t="n">
        <f aca="false">M685-N685</f>
        <v>819</v>
      </c>
      <c r="P685" s="8" t="n">
        <f aca="false">IFERROR(O685/M685,0)</f>
        <v>0.52</v>
      </c>
    </row>
    <row r="686" customFormat="false" ht="15" hidden="false" customHeight="true" outlineLevel="0" collapsed="false">
      <c r="A686" s="3" t="s">
        <v>83</v>
      </c>
      <c r="B686" s="3" t="s">
        <v>84</v>
      </c>
      <c r="C686" s="3" t="s">
        <v>18</v>
      </c>
      <c r="D686" s="3" t="s">
        <v>85</v>
      </c>
      <c r="E686" s="3" t="s">
        <v>56</v>
      </c>
      <c r="F686" s="3" t="s">
        <v>36</v>
      </c>
      <c r="G686" s="3" t="s">
        <v>37</v>
      </c>
      <c r="H686" s="3" t="s">
        <v>23</v>
      </c>
      <c r="I686" s="4" t="n">
        <v>4.5</v>
      </c>
      <c r="J686" s="4" t="n">
        <v>7</v>
      </c>
      <c r="K686" s="3" t="s">
        <v>24</v>
      </c>
      <c r="L686" s="3" t="n">
        <v>153</v>
      </c>
      <c r="M686" s="4" t="n">
        <f aca="false">L686*J686</f>
        <v>1071</v>
      </c>
      <c r="N686" s="4" t="n">
        <f aca="false">L686*I686</f>
        <v>688.5</v>
      </c>
      <c r="O686" s="4" t="n">
        <f aca="false">M686-N686</f>
        <v>382.5</v>
      </c>
      <c r="P686" s="5" t="n">
        <f aca="false">IFERROR(O686/M686,0)</f>
        <v>0.357142857142857</v>
      </c>
    </row>
    <row r="687" customFormat="false" ht="15" hidden="false" customHeight="true" outlineLevel="0" collapsed="false">
      <c r="A687" s="6" t="s">
        <v>83</v>
      </c>
      <c r="B687" s="6" t="s">
        <v>84</v>
      </c>
      <c r="C687" s="6" t="s">
        <v>18</v>
      </c>
      <c r="D687" s="6" t="s">
        <v>85</v>
      </c>
      <c r="E687" s="6" t="s">
        <v>56</v>
      </c>
      <c r="F687" s="6" t="s">
        <v>36</v>
      </c>
      <c r="G687" s="6" t="s">
        <v>37</v>
      </c>
      <c r="H687" s="6" t="s">
        <v>23</v>
      </c>
      <c r="I687" s="7" t="n">
        <v>4.5</v>
      </c>
      <c r="J687" s="7" t="n">
        <v>7</v>
      </c>
      <c r="K687" s="6" t="s">
        <v>25</v>
      </c>
      <c r="L687" s="6" t="n">
        <v>192</v>
      </c>
      <c r="M687" s="7" t="n">
        <f aca="false">L687*J687</f>
        <v>1344</v>
      </c>
      <c r="N687" s="7" t="n">
        <f aca="false">L687*I687</f>
        <v>864</v>
      </c>
      <c r="O687" s="7" t="n">
        <f aca="false">M687-N687</f>
        <v>480</v>
      </c>
      <c r="P687" s="8" t="n">
        <f aca="false">IFERROR(O687/M687,0)</f>
        <v>0.357142857142857</v>
      </c>
    </row>
    <row r="688" customFormat="false" ht="15" hidden="false" customHeight="true" outlineLevel="0" collapsed="false">
      <c r="A688" s="3" t="s">
        <v>83</v>
      </c>
      <c r="B688" s="3" t="s">
        <v>84</v>
      </c>
      <c r="C688" s="3" t="s">
        <v>18</v>
      </c>
      <c r="D688" s="3" t="s">
        <v>85</v>
      </c>
      <c r="E688" s="3" t="s">
        <v>56</v>
      </c>
      <c r="F688" s="3" t="s">
        <v>36</v>
      </c>
      <c r="G688" s="3" t="s">
        <v>37</v>
      </c>
      <c r="H688" s="3" t="s">
        <v>23</v>
      </c>
      <c r="I688" s="4" t="n">
        <v>4.5</v>
      </c>
      <c r="J688" s="4" t="n">
        <v>7</v>
      </c>
      <c r="K688" s="3" t="s">
        <v>26</v>
      </c>
      <c r="L688" s="3" t="n">
        <v>247</v>
      </c>
      <c r="M688" s="4" t="n">
        <f aca="false">L688*J688</f>
        <v>1729</v>
      </c>
      <c r="N688" s="4" t="n">
        <f aca="false">L688*I688</f>
        <v>1111.5</v>
      </c>
      <c r="O688" s="4" t="n">
        <f aca="false">M688-N688</f>
        <v>617.5</v>
      </c>
      <c r="P688" s="5" t="n">
        <f aca="false">IFERROR(O688/M688,0)</f>
        <v>0.357142857142857</v>
      </c>
    </row>
    <row r="689" customFormat="false" ht="15" hidden="false" customHeight="true" outlineLevel="0" collapsed="false">
      <c r="A689" s="6" t="s">
        <v>83</v>
      </c>
      <c r="B689" s="6" t="s">
        <v>84</v>
      </c>
      <c r="C689" s="6" t="s">
        <v>18</v>
      </c>
      <c r="D689" s="6" t="s">
        <v>85</v>
      </c>
      <c r="E689" s="6" t="s">
        <v>56</v>
      </c>
      <c r="F689" s="6" t="s">
        <v>36</v>
      </c>
      <c r="G689" s="6" t="s">
        <v>37</v>
      </c>
      <c r="H689" s="6" t="s">
        <v>23</v>
      </c>
      <c r="I689" s="7" t="n">
        <v>4.5</v>
      </c>
      <c r="J689" s="7" t="n">
        <v>7</v>
      </c>
      <c r="K689" s="6" t="s">
        <v>27</v>
      </c>
      <c r="L689" s="6" t="n">
        <v>255</v>
      </c>
      <c r="M689" s="7" t="n">
        <f aca="false">L689*J689</f>
        <v>1785</v>
      </c>
      <c r="N689" s="7" t="n">
        <f aca="false">L689*I689</f>
        <v>1147.5</v>
      </c>
      <c r="O689" s="7" t="n">
        <f aca="false">M689-N689</f>
        <v>637.5</v>
      </c>
      <c r="P689" s="8" t="n">
        <f aca="false">IFERROR(O689/M689,0)</f>
        <v>0.357142857142857</v>
      </c>
    </row>
    <row r="690" customFormat="false" ht="15" hidden="false" customHeight="true" outlineLevel="0" collapsed="false">
      <c r="A690" s="3" t="s">
        <v>83</v>
      </c>
      <c r="B690" s="3" t="s">
        <v>84</v>
      </c>
      <c r="C690" s="3" t="s">
        <v>18</v>
      </c>
      <c r="D690" s="3" t="s">
        <v>85</v>
      </c>
      <c r="E690" s="3" t="s">
        <v>56</v>
      </c>
      <c r="F690" s="3" t="s">
        <v>36</v>
      </c>
      <c r="G690" s="3" t="s">
        <v>37</v>
      </c>
      <c r="H690" s="3" t="s">
        <v>23</v>
      </c>
      <c r="I690" s="4" t="n">
        <v>4.5</v>
      </c>
      <c r="J690" s="4" t="n">
        <v>7</v>
      </c>
      <c r="K690" s="3" t="s">
        <v>28</v>
      </c>
      <c r="L690" s="3" t="n">
        <v>310</v>
      </c>
      <c r="M690" s="4" t="n">
        <f aca="false">L690*J690</f>
        <v>2170</v>
      </c>
      <c r="N690" s="4" t="n">
        <f aca="false">L690*I690</f>
        <v>1395</v>
      </c>
      <c r="O690" s="4" t="n">
        <f aca="false">M690-N690</f>
        <v>775</v>
      </c>
      <c r="P690" s="5" t="n">
        <f aca="false">IFERROR(O690/M690,0)</f>
        <v>0.357142857142857</v>
      </c>
    </row>
    <row r="691" customFormat="false" ht="15" hidden="false" customHeight="true" outlineLevel="0" collapsed="false">
      <c r="A691" s="6" t="s">
        <v>83</v>
      </c>
      <c r="B691" s="6" t="s">
        <v>84</v>
      </c>
      <c r="C691" s="6" t="s">
        <v>18</v>
      </c>
      <c r="D691" s="6" t="s">
        <v>85</v>
      </c>
      <c r="E691" s="6" t="s">
        <v>56</v>
      </c>
      <c r="F691" s="6" t="s">
        <v>36</v>
      </c>
      <c r="G691" s="6" t="s">
        <v>37</v>
      </c>
      <c r="H691" s="6" t="s">
        <v>23</v>
      </c>
      <c r="I691" s="7" t="n">
        <v>4.5</v>
      </c>
      <c r="J691" s="7" t="n">
        <v>7</v>
      </c>
      <c r="K691" s="6" t="s">
        <v>29</v>
      </c>
      <c r="L691" s="6" t="n">
        <v>255</v>
      </c>
      <c r="M691" s="7" t="n">
        <f aca="false">L691*J691</f>
        <v>1785</v>
      </c>
      <c r="N691" s="7" t="n">
        <f aca="false">L691*I691</f>
        <v>1147.5</v>
      </c>
      <c r="O691" s="7" t="n">
        <f aca="false">M691-N691</f>
        <v>637.5</v>
      </c>
      <c r="P691" s="8" t="n">
        <f aca="false">IFERROR(O691/M691,0)</f>
        <v>0.357142857142857</v>
      </c>
    </row>
    <row r="692" customFormat="false" ht="15" hidden="false" customHeight="true" outlineLevel="0" collapsed="false">
      <c r="A692" s="3" t="s">
        <v>83</v>
      </c>
      <c r="B692" s="3" t="s">
        <v>84</v>
      </c>
      <c r="C692" s="3" t="s">
        <v>18</v>
      </c>
      <c r="D692" s="3" t="s">
        <v>85</v>
      </c>
      <c r="E692" s="3" t="s">
        <v>56</v>
      </c>
      <c r="F692" s="3" t="s">
        <v>38</v>
      </c>
      <c r="G692" s="3" t="s">
        <v>39</v>
      </c>
      <c r="H692" s="3" t="s">
        <v>23</v>
      </c>
      <c r="I692" s="4" t="n">
        <v>9.9</v>
      </c>
      <c r="J692" s="4" t="n">
        <v>18</v>
      </c>
      <c r="K692" s="3" t="s">
        <v>24</v>
      </c>
      <c r="L692" s="3" t="n">
        <v>257</v>
      </c>
      <c r="M692" s="4" t="n">
        <f aca="false">L692*J692</f>
        <v>4626</v>
      </c>
      <c r="N692" s="4" t="n">
        <f aca="false">L692*I692</f>
        <v>2544.3</v>
      </c>
      <c r="O692" s="4" t="n">
        <f aca="false">M692-N692</f>
        <v>2081.7</v>
      </c>
      <c r="P692" s="5" t="n">
        <f aca="false">IFERROR(O692/M692,0)</f>
        <v>0.45</v>
      </c>
    </row>
    <row r="693" customFormat="false" ht="15" hidden="false" customHeight="true" outlineLevel="0" collapsed="false">
      <c r="A693" s="6" t="s">
        <v>83</v>
      </c>
      <c r="B693" s="6" t="s">
        <v>84</v>
      </c>
      <c r="C693" s="6" t="s">
        <v>18</v>
      </c>
      <c r="D693" s="6" t="s">
        <v>85</v>
      </c>
      <c r="E693" s="6" t="s">
        <v>56</v>
      </c>
      <c r="F693" s="6" t="s">
        <v>38</v>
      </c>
      <c r="G693" s="6" t="s">
        <v>39</v>
      </c>
      <c r="H693" s="6" t="s">
        <v>23</v>
      </c>
      <c r="I693" s="7" t="n">
        <v>9.9</v>
      </c>
      <c r="J693" s="7" t="n">
        <v>18</v>
      </c>
      <c r="K693" s="6" t="s">
        <v>25</v>
      </c>
      <c r="L693" s="6" t="n">
        <v>235</v>
      </c>
      <c r="M693" s="7" t="n">
        <f aca="false">L693*J693</f>
        <v>4230</v>
      </c>
      <c r="N693" s="7" t="n">
        <f aca="false">L693*I693</f>
        <v>2326.5</v>
      </c>
      <c r="O693" s="7" t="n">
        <f aca="false">M693-N693</f>
        <v>1903.5</v>
      </c>
      <c r="P693" s="8" t="n">
        <f aca="false">IFERROR(O693/M693,0)</f>
        <v>0.45</v>
      </c>
    </row>
    <row r="694" customFormat="false" ht="15" hidden="false" customHeight="true" outlineLevel="0" collapsed="false">
      <c r="A694" s="3" t="s">
        <v>83</v>
      </c>
      <c r="B694" s="3" t="s">
        <v>84</v>
      </c>
      <c r="C694" s="3" t="s">
        <v>18</v>
      </c>
      <c r="D694" s="3" t="s">
        <v>85</v>
      </c>
      <c r="E694" s="3" t="s">
        <v>56</v>
      </c>
      <c r="F694" s="3" t="s">
        <v>38</v>
      </c>
      <c r="G694" s="3" t="s">
        <v>39</v>
      </c>
      <c r="H694" s="3" t="s">
        <v>23</v>
      </c>
      <c r="I694" s="4" t="n">
        <v>9.9</v>
      </c>
      <c r="J694" s="4" t="n">
        <v>18</v>
      </c>
      <c r="K694" s="3" t="s">
        <v>26</v>
      </c>
      <c r="L694" s="3" t="n">
        <v>266</v>
      </c>
      <c r="M694" s="4" t="n">
        <f aca="false">L694*J694</f>
        <v>4788</v>
      </c>
      <c r="N694" s="4" t="n">
        <f aca="false">L694*I694</f>
        <v>2633.4</v>
      </c>
      <c r="O694" s="4" t="n">
        <f aca="false">M694-N694</f>
        <v>2154.6</v>
      </c>
      <c r="P694" s="5" t="n">
        <f aca="false">IFERROR(O694/M694,0)</f>
        <v>0.45</v>
      </c>
    </row>
    <row r="695" customFormat="false" ht="15" hidden="false" customHeight="true" outlineLevel="0" collapsed="false">
      <c r="A695" s="6" t="s">
        <v>83</v>
      </c>
      <c r="B695" s="6" t="s">
        <v>84</v>
      </c>
      <c r="C695" s="6" t="s">
        <v>18</v>
      </c>
      <c r="D695" s="6" t="s">
        <v>85</v>
      </c>
      <c r="E695" s="6" t="s">
        <v>56</v>
      </c>
      <c r="F695" s="6" t="s">
        <v>38</v>
      </c>
      <c r="G695" s="6" t="s">
        <v>39</v>
      </c>
      <c r="H695" s="6" t="s">
        <v>23</v>
      </c>
      <c r="I695" s="7" t="n">
        <v>9.9</v>
      </c>
      <c r="J695" s="7" t="n">
        <v>18</v>
      </c>
      <c r="K695" s="6" t="s">
        <v>27</v>
      </c>
      <c r="L695" s="6" t="n">
        <v>94</v>
      </c>
      <c r="M695" s="7" t="n">
        <f aca="false">L695*J695</f>
        <v>1692</v>
      </c>
      <c r="N695" s="7" t="n">
        <f aca="false">L695*I695</f>
        <v>930.6</v>
      </c>
      <c r="O695" s="7" t="n">
        <f aca="false">M695-N695</f>
        <v>761.4</v>
      </c>
      <c r="P695" s="8" t="n">
        <f aca="false">IFERROR(O695/M695,0)</f>
        <v>0.45</v>
      </c>
    </row>
    <row r="696" customFormat="false" ht="15" hidden="false" customHeight="true" outlineLevel="0" collapsed="false">
      <c r="A696" s="3" t="s">
        <v>83</v>
      </c>
      <c r="B696" s="3" t="s">
        <v>84</v>
      </c>
      <c r="C696" s="3" t="s">
        <v>18</v>
      </c>
      <c r="D696" s="3" t="s">
        <v>85</v>
      </c>
      <c r="E696" s="3" t="s">
        <v>56</v>
      </c>
      <c r="F696" s="3" t="s">
        <v>38</v>
      </c>
      <c r="G696" s="3" t="s">
        <v>39</v>
      </c>
      <c r="H696" s="3" t="s">
        <v>23</v>
      </c>
      <c r="I696" s="4" t="n">
        <v>9.9</v>
      </c>
      <c r="J696" s="4" t="n">
        <v>18</v>
      </c>
      <c r="K696" s="3" t="s">
        <v>28</v>
      </c>
      <c r="L696" s="3" t="n">
        <v>48</v>
      </c>
      <c r="M696" s="4" t="n">
        <f aca="false">L696*J696</f>
        <v>864</v>
      </c>
      <c r="N696" s="4" t="n">
        <f aca="false">L696*I696</f>
        <v>475.2</v>
      </c>
      <c r="O696" s="4" t="n">
        <f aca="false">M696-N696</f>
        <v>388.8</v>
      </c>
      <c r="P696" s="5" t="n">
        <f aca="false">IFERROR(O696/M696,0)</f>
        <v>0.45</v>
      </c>
    </row>
    <row r="697" customFormat="false" ht="15" hidden="false" customHeight="true" outlineLevel="0" collapsed="false">
      <c r="A697" s="6" t="s">
        <v>83</v>
      </c>
      <c r="B697" s="6" t="s">
        <v>84</v>
      </c>
      <c r="C697" s="6" t="s">
        <v>18</v>
      </c>
      <c r="D697" s="6" t="s">
        <v>85</v>
      </c>
      <c r="E697" s="6" t="s">
        <v>56</v>
      </c>
      <c r="F697" s="6" t="s">
        <v>38</v>
      </c>
      <c r="G697" s="6" t="s">
        <v>39</v>
      </c>
      <c r="H697" s="6" t="s">
        <v>23</v>
      </c>
      <c r="I697" s="7" t="n">
        <v>9.9</v>
      </c>
      <c r="J697" s="7" t="n">
        <v>18</v>
      </c>
      <c r="K697" s="6" t="s">
        <v>29</v>
      </c>
      <c r="L697" s="6" t="n">
        <v>161</v>
      </c>
      <c r="M697" s="7" t="n">
        <f aca="false">L697*J697</f>
        <v>2898</v>
      </c>
      <c r="N697" s="7" t="n">
        <f aca="false">L697*I697</f>
        <v>1593.9</v>
      </c>
      <c r="O697" s="7" t="n">
        <f aca="false">M697-N697</f>
        <v>1304.1</v>
      </c>
      <c r="P697" s="8" t="n">
        <f aca="false">IFERROR(O697/M697,0)</f>
        <v>0.45</v>
      </c>
    </row>
    <row r="698" customFormat="false" ht="15" hidden="false" customHeight="true" outlineLevel="0" collapsed="false">
      <c r="A698" s="3" t="s">
        <v>83</v>
      </c>
      <c r="B698" s="3" t="s">
        <v>84</v>
      </c>
      <c r="C698" s="3" t="s">
        <v>18</v>
      </c>
      <c r="D698" s="3" t="s">
        <v>85</v>
      </c>
      <c r="E698" s="3" t="s">
        <v>56</v>
      </c>
      <c r="F698" s="3" t="s">
        <v>40</v>
      </c>
      <c r="G698" s="3" t="s">
        <v>41</v>
      </c>
      <c r="H698" s="3" t="s">
        <v>42</v>
      </c>
      <c r="I698" s="4" t="n">
        <v>3.5</v>
      </c>
      <c r="J698" s="4" t="n">
        <v>6.5</v>
      </c>
      <c r="K698" s="3" t="s">
        <v>24</v>
      </c>
      <c r="L698" s="3" t="n">
        <v>266</v>
      </c>
      <c r="M698" s="4" t="n">
        <f aca="false">L698*J698</f>
        <v>1729</v>
      </c>
      <c r="N698" s="4" t="n">
        <f aca="false">L698*I698</f>
        <v>931</v>
      </c>
      <c r="O698" s="4" t="n">
        <f aca="false">M698-N698</f>
        <v>798</v>
      </c>
      <c r="P698" s="5" t="n">
        <f aca="false">IFERROR(O698/M698,0)</f>
        <v>0.461538461538462</v>
      </c>
    </row>
    <row r="699" customFormat="false" ht="15" hidden="false" customHeight="true" outlineLevel="0" collapsed="false">
      <c r="A699" s="6" t="s">
        <v>83</v>
      </c>
      <c r="B699" s="6" t="s">
        <v>84</v>
      </c>
      <c r="C699" s="6" t="s">
        <v>18</v>
      </c>
      <c r="D699" s="6" t="s">
        <v>85</v>
      </c>
      <c r="E699" s="6" t="s">
        <v>56</v>
      </c>
      <c r="F699" s="6" t="s">
        <v>40</v>
      </c>
      <c r="G699" s="6" t="s">
        <v>41</v>
      </c>
      <c r="H699" s="6" t="s">
        <v>42</v>
      </c>
      <c r="I699" s="7" t="n">
        <v>3.5</v>
      </c>
      <c r="J699" s="7" t="n">
        <v>6.5</v>
      </c>
      <c r="K699" s="6" t="s">
        <v>25</v>
      </c>
      <c r="L699" s="6" t="n">
        <v>74</v>
      </c>
      <c r="M699" s="7" t="n">
        <f aca="false">L699*J699</f>
        <v>481</v>
      </c>
      <c r="N699" s="7" t="n">
        <f aca="false">L699*I699</f>
        <v>259</v>
      </c>
      <c r="O699" s="7" t="n">
        <f aca="false">M699-N699</f>
        <v>222</v>
      </c>
      <c r="P699" s="8" t="n">
        <f aca="false">IFERROR(O699/M699,0)</f>
        <v>0.461538461538462</v>
      </c>
    </row>
    <row r="700" customFormat="false" ht="15" hidden="false" customHeight="true" outlineLevel="0" collapsed="false">
      <c r="A700" s="3" t="s">
        <v>83</v>
      </c>
      <c r="B700" s="3" t="s">
        <v>84</v>
      </c>
      <c r="C700" s="3" t="s">
        <v>18</v>
      </c>
      <c r="D700" s="3" t="s">
        <v>85</v>
      </c>
      <c r="E700" s="3" t="s">
        <v>56</v>
      </c>
      <c r="F700" s="3" t="s">
        <v>40</v>
      </c>
      <c r="G700" s="3" t="s">
        <v>41</v>
      </c>
      <c r="H700" s="3" t="s">
        <v>42</v>
      </c>
      <c r="I700" s="4" t="n">
        <v>3.5</v>
      </c>
      <c r="J700" s="4" t="n">
        <v>6.5</v>
      </c>
      <c r="K700" s="3" t="s">
        <v>26</v>
      </c>
      <c r="L700" s="3" t="n">
        <v>89</v>
      </c>
      <c r="M700" s="4" t="n">
        <f aca="false">L700*J700</f>
        <v>578.5</v>
      </c>
      <c r="N700" s="4" t="n">
        <f aca="false">L700*I700</f>
        <v>311.5</v>
      </c>
      <c r="O700" s="4" t="n">
        <f aca="false">M700-N700</f>
        <v>267</v>
      </c>
      <c r="P700" s="5" t="n">
        <f aca="false">IFERROR(O700/M700,0)</f>
        <v>0.461538461538462</v>
      </c>
    </row>
    <row r="701" customFormat="false" ht="15" hidden="false" customHeight="true" outlineLevel="0" collapsed="false">
      <c r="A701" s="6" t="s">
        <v>83</v>
      </c>
      <c r="B701" s="6" t="s">
        <v>84</v>
      </c>
      <c r="C701" s="6" t="s">
        <v>18</v>
      </c>
      <c r="D701" s="6" t="s">
        <v>85</v>
      </c>
      <c r="E701" s="6" t="s">
        <v>56</v>
      </c>
      <c r="F701" s="6" t="s">
        <v>40</v>
      </c>
      <c r="G701" s="6" t="s">
        <v>41</v>
      </c>
      <c r="H701" s="6" t="s">
        <v>42</v>
      </c>
      <c r="I701" s="7" t="n">
        <v>3.5</v>
      </c>
      <c r="J701" s="7" t="n">
        <v>6.5</v>
      </c>
      <c r="K701" s="6" t="s">
        <v>27</v>
      </c>
      <c r="L701" s="6" t="n">
        <v>273</v>
      </c>
      <c r="M701" s="7" t="n">
        <f aca="false">L701*J701</f>
        <v>1774.5</v>
      </c>
      <c r="N701" s="7" t="n">
        <f aca="false">L701*I701</f>
        <v>955.5</v>
      </c>
      <c r="O701" s="7" t="n">
        <f aca="false">M701-N701</f>
        <v>819</v>
      </c>
      <c r="P701" s="8" t="n">
        <f aca="false">IFERROR(O701/M701,0)</f>
        <v>0.461538461538462</v>
      </c>
    </row>
    <row r="702" customFormat="false" ht="15" hidden="false" customHeight="true" outlineLevel="0" collapsed="false">
      <c r="A702" s="3" t="s">
        <v>83</v>
      </c>
      <c r="B702" s="3" t="s">
        <v>84</v>
      </c>
      <c r="C702" s="3" t="s">
        <v>18</v>
      </c>
      <c r="D702" s="3" t="s">
        <v>85</v>
      </c>
      <c r="E702" s="3" t="s">
        <v>56</v>
      </c>
      <c r="F702" s="3" t="s">
        <v>40</v>
      </c>
      <c r="G702" s="3" t="s">
        <v>41</v>
      </c>
      <c r="H702" s="3" t="s">
        <v>42</v>
      </c>
      <c r="I702" s="4" t="n">
        <v>3.5</v>
      </c>
      <c r="J702" s="4" t="n">
        <v>6.5</v>
      </c>
      <c r="K702" s="3" t="s">
        <v>28</v>
      </c>
      <c r="L702" s="3" t="n">
        <v>288</v>
      </c>
      <c r="M702" s="4" t="n">
        <f aca="false">L702*J702</f>
        <v>1872</v>
      </c>
      <c r="N702" s="4" t="n">
        <f aca="false">L702*I702</f>
        <v>1008</v>
      </c>
      <c r="O702" s="4" t="n">
        <f aca="false">M702-N702</f>
        <v>864</v>
      </c>
      <c r="P702" s="5" t="n">
        <f aca="false">IFERROR(O702/M702,0)</f>
        <v>0.461538461538462</v>
      </c>
    </row>
    <row r="703" customFormat="false" ht="15" hidden="false" customHeight="true" outlineLevel="0" collapsed="false">
      <c r="A703" s="6" t="s">
        <v>83</v>
      </c>
      <c r="B703" s="6" t="s">
        <v>84</v>
      </c>
      <c r="C703" s="6" t="s">
        <v>18</v>
      </c>
      <c r="D703" s="6" t="s">
        <v>85</v>
      </c>
      <c r="E703" s="6" t="s">
        <v>56</v>
      </c>
      <c r="F703" s="6" t="s">
        <v>40</v>
      </c>
      <c r="G703" s="6" t="s">
        <v>41</v>
      </c>
      <c r="H703" s="6" t="s">
        <v>42</v>
      </c>
      <c r="I703" s="7" t="n">
        <v>3.5</v>
      </c>
      <c r="J703" s="7" t="n">
        <v>6.5</v>
      </c>
      <c r="K703" s="6" t="s">
        <v>29</v>
      </c>
      <c r="L703" s="6" t="n">
        <v>93</v>
      </c>
      <c r="M703" s="7" t="n">
        <f aca="false">L703*J703</f>
        <v>604.5</v>
      </c>
      <c r="N703" s="7" t="n">
        <f aca="false">L703*I703</f>
        <v>325.5</v>
      </c>
      <c r="O703" s="7" t="n">
        <f aca="false">M703-N703</f>
        <v>279</v>
      </c>
      <c r="P703" s="8" t="n">
        <f aca="false">IFERROR(O703/M703,0)</f>
        <v>0.461538461538462</v>
      </c>
    </row>
    <row r="704" customFormat="false" ht="15" hidden="false" customHeight="true" outlineLevel="0" collapsed="false">
      <c r="A704" s="3" t="s">
        <v>83</v>
      </c>
      <c r="B704" s="3" t="s">
        <v>84</v>
      </c>
      <c r="C704" s="3" t="s">
        <v>18</v>
      </c>
      <c r="D704" s="3" t="s">
        <v>85</v>
      </c>
      <c r="E704" s="3" t="s">
        <v>56</v>
      </c>
      <c r="F704" s="3" t="s">
        <v>43</v>
      </c>
      <c r="G704" s="3" t="s">
        <v>44</v>
      </c>
      <c r="H704" s="3" t="s">
        <v>42</v>
      </c>
      <c r="I704" s="4" t="n">
        <v>2</v>
      </c>
      <c r="J704" s="4" t="n">
        <v>3.8</v>
      </c>
      <c r="K704" s="3" t="s">
        <v>24</v>
      </c>
      <c r="L704" s="3" t="n">
        <v>188</v>
      </c>
      <c r="M704" s="4" t="n">
        <f aca="false">L704*J704</f>
        <v>714.4</v>
      </c>
      <c r="N704" s="4" t="n">
        <f aca="false">L704*I704</f>
        <v>376</v>
      </c>
      <c r="O704" s="4" t="n">
        <f aca="false">M704-N704</f>
        <v>338.4</v>
      </c>
      <c r="P704" s="5" t="n">
        <f aca="false">IFERROR(O704/M704,0)</f>
        <v>0.473684210526316</v>
      </c>
    </row>
    <row r="705" customFormat="false" ht="15" hidden="false" customHeight="true" outlineLevel="0" collapsed="false">
      <c r="A705" s="6" t="s">
        <v>83</v>
      </c>
      <c r="B705" s="6" t="s">
        <v>84</v>
      </c>
      <c r="C705" s="6" t="s">
        <v>18</v>
      </c>
      <c r="D705" s="6" t="s">
        <v>85</v>
      </c>
      <c r="E705" s="6" t="s">
        <v>56</v>
      </c>
      <c r="F705" s="6" t="s">
        <v>43</v>
      </c>
      <c r="G705" s="6" t="s">
        <v>44</v>
      </c>
      <c r="H705" s="6" t="s">
        <v>42</v>
      </c>
      <c r="I705" s="7" t="n">
        <v>2</v>
      </c>
      <c r="J705" s="7" t="n">
        <v>3.8</v>
      </c>
      <c r="K705" s="6" t="s">
        <v>25</v>
      </c>
      <c r="L705" s="6" t="n">
        <v>135</v>
      </c>
      <c r="M705" s="7" t="n">
        <f aca="false">L705*J705</f>
        <v>513</v>
      </c>
      <c r="N705" s="7" t="n">
        <f aca="false">L705*I705</f>
        <v>270</v>
      </c>
      <c r="O705" s="7" t="n">
        <f aca="false">M705-N705</f>
        <v>243</v>
      </c>
      <c r="P705" s="8" t="n">
        <f aca="false">IFERROR(O705/M705,0)</f>
        <v>0.473684210526316</v>
      </c>
    </row>
    <row r="706" customFormat="false" ht="15" hidden="false" customHeight="true" outlineLevel="0" collapsed="false">
      <c r="A706" s="3" t="s">
        <v>83</v>
      </c>
      <c r="B706" s="3" t="s">
        <v>84</v>
      </c>
      <c r="C706" s="3" t="s">
        <v>18</v>
      </c>
      <c r="D706" s="3" t="s">
        <v>85</v>
      </c>
      <c r="E706" s="3" t="s">
        <v>56</v>
      </c>
      <c r="F706" s="3" t="s">
        <v>43</v>
      </c>
      <c r="G706" s="3" t="s">
        <v>44</v>
      </c>
      <c r="H706" s="3" t="s">
        <v>42</v>
      </c>
      <c r="I706" s="4" t="n">
        <v>2</v>
      </c>
      <c r="J706" s="4" t="n">
        <v>3.8</v>
      </c>
      <c r="K706" s="3" t="s">
        <v>26</v>
      </c>
      <c r="L706" s="3" t="n">
        <v>119</v>
      </c>
      <c r="M706" s="4" t="n">
        <f aca="false">L706*J706</f>
        <v>452.2</v>
      </c>
      <c r="N706" s="4" t="n">
        <f aca="false">L706*I706</f>
        <v>238</v>
      </c>
      <c r="O706" s="4" t="n">
        <f aca="false">M706-N706</f>
        <v>214.2</v>
      </c>
      <c r="P706" s="5" t="n">
        <f aca="false">IFERROR(O706/M706,0)</f>
        <v>0.473684210526316</v>
      </c>
    </row>
    <row r="707" customFormat="false" ht="15" hidden="false" customHeight="true" outlineLevel="0" collapsed="false">
      <c r="A707" s="6" t="s">
        <v>83</v>
      </c>
      <c r="B707" s="6" t="s">
        <v>84</v>
      </c>
      <c r="C707" s="6" t="s">
        <v>18</v>
      </c>
      <c r="D707" s="6" t="s">
        <v>85</v>
      </c>
      <c r="E707" s="6" t="s">
        <v>56</v>
      </c>
      <c r="F707" s="6" t="s">
        <v>43</v>
      </c>
      <c r="G707" s="6" t="s">
        <v>44</v>
      </c>
      <c r="H707" s="6" t="s">
        <v>42</v>
      </c>
      <c r="I707" s="7" t="n">
        <v>2</v>
      </c>
      <c r="J707" s="7" t="n">
        <v>3.8</v>
      </c>
      <c r="K707" s="6" t="s">
        <v>27</v>
      </c>
      <c r="L707" s="6" t="n">
        <v>315</v>
      </c>
      <c r="M707" s="7" t="n">
        <f aca="false">L707*J707</f>
        <v>1197</v>
      </c>
      <c r="N707" s="7" t="n">
        <f aca="false">L707*I707</f>
        <v>630</v>
      </c>
      <c r="O707" s="7" t="n">
        <f aca="false">M707-N707</f>
        <v>567</v>
      </c>
      <c r="P707" s="8" t="n">
        <f aca="false">IFERROR(O707/M707,0)</f>
        <v>0.473684210526316</v>
      </c>
    </row>
    <row r="708" customFormat="false" ht="15" hidden="false" customHeight="true" outlineLevel="0" collapsed="false">
      <c r="A708" s="3" t="s">
        <v>83</v>
      </c>
      <c r="B708" s="3" t="s">
        <v>84</v>
      </c>
      <c r="C708" s="3" t="s">
        <v>18</v>
      </c>
      <c r="D708" s="3" t="s">
        <v>85</v>
      </c>
      <c r="E708" s="3" t="s">
        <v>56</v>
      </c>
      <c r="F708" s="3" t="s">
        <v>43</v>
      </c>
      <c r="G708" s="3" t="s">
        <v>44</v>
      </c>
      <c r="H708" s="3" t="s">
        <v>42</v>
      </c>
      <c r="I708" s="4" t="n">
        <v>2</v>
      </c>
      <c r="J708" s="4" t="n">
        <v>3.8</v>
      </c>
      <c r="K708" s="3" t="s">
        <v>28</v>
      </c>
      <c r="L708" s="3" t="n">
        <v>111</v>
      </c>
      <c r="M708" s="4" t="n">
        <f aca="false">L708*J708</f>
        <v>421.8</v>
      </c>
      <c r="N708" s="4" t="n">
        <f aca="false">L708*I708</f>
        <v>222</v>
      </c>
      <c r="O708" s="4" t="n">
        <f aca="false">M708-N708</f>
        <v>199.8</v>
      </c>
      <c r="P708" s="5" t="n">
        <f aca="false">IFERROR(O708/M708,0)</f>
        <v>0.473684210526316</v>
      </c>
    </row>
    <row r="709" customFormat="false" ht="15" hidden="false" customHeight="true" outlineLevel="0" collapsed="false">
      <c r="A709" s="6" t="s">
        <v>83</v>
      </c>
      <c r="B709" s="6" t="s">
        <v>84</v>
      </c>
      <c r="C709" s="6" t="s">
        <v>18</v>
      </c>
      <c r="D709" s="6" t="s">
        <v>85</v>
      </c>
      <c r="E709" s="6" t="s">
        <v>56</v>
      </c>
      <c r="F709" s="6" t="s">
        <v>43</v>
      </c>
      <c r="G709" s="6" t="s">
        <v>44</v>
      </c>
      <c r="H709" s="6" t="s">
        <v>42</v>
      </c>
      <c r="I709" s="7" t="n">
        <v>2</v>
      </c>
      <c r="J709" s="7" t="n">
        <v>3.8</v>
      </c>
      <c r="K709" s="6" t="s">
        <v>29</v>
      </c>
      <c r="L709" s="6" t="n">
        <v>374</v>
      </c>
      <c r="M709" s="7" t="n">
        <f aca="false">L709*J709</f>
        <v>1421.2</v>
      </c>
      <c r="N709" s="7" t="n">
        <f aca="false">L709*I709</f>
        <v>748</v>
      </c>
      <c r="O709" s="7" t="n">
        <f aca="false">M709-N709</f>
        <v>673.2</v>
      </c>
      <c r="P709" s="8" t="n">
        <f aca="false">IFERROR(O709/M709,0)</f>
        <v>0.473684210526316</v>
      </c>
    </row>
    <row r="710" customFormat="false" ht="15" hidden="false" customHeight="true" outlineLevel="0" collapsed="false">
      <c r="A710" s="3" t="s">
        <v>83</v>
      </c>
      <c r="B710" s="3" t="s">
        <v>84</v>
      </c>
      <c r="C710" s="3" t="s">
        <v>18</v>
      </c>
      <c r="D710" s="3" t="s">
        <v>85</v>
      </c>
      <c r="E710" s="3" t="s">
        <v>56</v>
      </c>
      <c r="F710" s="3" t="s">
        <v>45</v>
      </c>
      <c r="G710" s="3" t="s">
        <v>46</v>
      </c>
      <c r="H710" s="3" t="s">
        <v>42</v>
      </c>
      <c r="I710" s="4" t="n">
        <v>5</v>
      </c>
      <c r="J710" s="4" t="n">
        <v>10</v>
      </c>
      <c r="K710" s="3" t="s">
        <v>24</v>
      </c>
      <c r="L710" s="3" t="n">
        <v>209</v>
      </c>
      <c r="M710" s="4" t="n">
        <f aca="false">L710*J710</f>
        <v>2090</v>
      </c>
      <c r="N710" s="4" t="n">
        <f aca="false">L710*I710</f>
        <v>1045</v>
      </c>
      <c r="O710" s="4" t="n">
        <f aca="false">M710-N710</f>
        <v>1045</v>
      </c>
      <c r="P710" s="5" t="n">
        <f aca="false">IFERROR(O710/M710,0)</f>
        <v>0.5</v>
      </c>
    </row>
    <row r="711" customFormat="false" ht="15" hidden="false" customHeight="true" outlineLevel="0" collapsed="false">
      <c r="A711" s="6" t="s">
        <v>83</v>
      </c>
      <c r="B711" s="6" t="s">
        <v>84</v>
      </c>
      <c r="C711" s="6" t="s">
        <v>18</v>
      </c>
      <c r="D711" s="6" t="s">
        <v>85</v>
      </c>
      <c r="E711" s="6" t="s">
        <v>56</v>
      </c>
      <c r="F711" s="6" t="s">
        <v>45</v>
      </c>
      <c r="G711" s="6" t="s">
        <v>46</v>
      </c>
      <c r="H711" s="6" t="s">
        <v>42</v>
      </c>
      <c r="I711" s="7" t="n">
        <v>5</v>
      </c>
      <c r="J711" s="7" t="n">
        <v>10</v>
      </c>
      <c r="K711" s="6" t="s">
        <v>25</v>
      </c>
      <c r="L711" s="6" t="n">
        <v>96</v>
      </c>
      <c r="M711" s="7" t="n">
        <f aca="false">L711*J711</f>
        <v>960</v>
      </c>
      <c r="N711" s="7" t="n">
        <f aca="false">L711*I711</f>
        <v>480</v>
      </c>
      <c r="O711" s="7" t="n">
        <f aca="false">M711-N711</f>
        <v>480</v>
      </c>
      <c r="P711" s="8" t="n">
        <f aca="false">IFERROR(O711/M711,0)</f>
        <v>0.5</v>
      </c>
    </row>
    <row r="712" customFormat="false" ht="15" hidden="false" customHeight="true" outlineLevel="0" collapsed="false">
      <c r="A712" s="3" t="s">
        <v>83</v>
      </c>
      <c r="B712" s="3" t="s">
        <v>84</v>
      </c>
      <c r="C712" s="3" t="s">
        <v>18</v>
      </c>
      <c r="D712" s="3" t="s">
        <v>85</v>
      </c>
      <c r="E712" s="3" t="s">
        <v>56</v>
      </c>
      <c r="F712" s="3" t="s">
        <v>45</v>
      </c>
      <c r="G712" s="3" t="s">
        <v>46</v>
      </c>
      <c r="H712" s="3" t="s">
        <v>42</v>
      </c>
      <c r="I712" s="4" t="n">
        <v>5</v>
      </c>
      <c r="J712" s="4" t="n">
        <v>10</v>
      </c>
      <c r="K712" s="3" t="s">
        <v>26</v>
      </c>
      <c r="L712" s="3" t="n">
        <v>84</v>
      </c>
      <c r="M712" s="4" t="n">
        <f aca="false">L712*J712</f>
        <v>840</v>
      </c>
      <c r="N712" s="4" t="n">
        <f aca="false">L712*I712</f>
        <v>420</v>
      </c>
      <c r="O712" s="4" t="n">
        <f aca="false">M712-N712</f>
        <v>420</v>
      </c>
      <c r="P712" s="5" t="n">
        <f aca="false">IFERROR(O712/M712,0)</f>
        <v>0.5</v>
      </c>
    </row>
    <row r="713" customFormat="false" ht="15" hidden="false" customHeight="true" outlineLevel="0" collapsed="false">
      <c r="A713" s="6" t="s">
        <v>83</v>
      </c>
      <c r="B713" s="6" t="s">
        <v>84</v>
      </c>
      <c r="C713" s="6" t="s">
        <v>18</v>
      </c>
      <c r="D713" s="6" t="s">
        <v>85</v>
      </c>
      <c r="E713" s="6" t="s">
        <v>56</v>
      </c>
      <c r="F713" s="6" t="s">
        <v>45</v>
      </c>
      <c r="G713" s="6" t="s">
        <v>46</v>
      </c>
      <c r="H713" s="6" t="s">
        <v>42</v>
      </c>
      <c r="I713" s="7" t="n">
        <v>5</v>
      </c>
      <c r="J713" s="7" t="n">
        <v>10</v>
      </c>
      <c r="K713" s="6" t="s">
        <v>27</v>
      </c>
      <c r="L713" s="6" t="n">
        <v>165</v>
      </c>
      <c r="M713" s="7" t="n">
        <f aca="false">L713*J713</f>
        <v>1650</v>
      </c>
      <c r="N713" s="7" t="n">
        <f aca="false">L713*I713</f>
        <v>825</v>
      </c>
      <c r="O713" s="7" t="n">
        <f aca="false">M713-N713</f>
        <v>825</v>
      </c>
      <c r="P713" s="8" t="n">
        <f aca="false">IFERROR(O713/M713,0)</f>
        <v>0.5</v>
      </c>
    </row>
    <row r="714" customFormat="false" ht="15" hidden="false" customHeight="true" outlineLevel="0" collapsed="false">
      <c r="A714" s="3" t="s">
        <v>83</v>
      </c>
      <c r="B714" s="3" t="s">
        <v>84</v>
      </c>
      <c r="C714" s="3" t="s">
        <v>18</v>
      </c>
      <c r="D714" s="3" t="s">
        <v>85</v>
      </c>
      <c r="E714" s="3" t="s">
        <v>56</v>
      </c>
      <c r="F714" s="3" t="s">
        <v>45</v>
      </c>
      <c r="G714" s="3" t="s">
        <v>46</v>
      </c>
      <c r="H714" s="3" t="s">
        <v>42</v>
      </c>
      <c r="I714" s="4" t="n">
        <v>5</v>
      </c>
      <c r="J714" s="4" t="n">
        <v>10</v>
      </c>
      <c r="K714" s="3" t="s">
        <v>28</v>
      </c>
      <c r="L714" s="3" t="n">
        <v>150</v>
      </c>
      <c r="M714" s="4" t="n">
        <f aca="false">L714*J714</f>
        <v>1500</v>
      </c>
      <c r="N714" s="4" t="n">
        <f aca="false">L714*I714</f>
        <v>750</v>
      </c>
      <c r="O714" s="4" t="n">
        <f aca="false">M714-N714</f>
        <v>750</v>
      </c>
      <c r="P714" s="5" t="n">
        <f aca="false">IFERROR(O714/M714,0)</f>
        <v>0.5</v>
      </c>
    </row>
    <row r="715" customFormat="false" ht="15" hidden="false" customHeight="true" outlineLevel="0" collapsed="false">
      <c r="A715" s="6" t="s">
        <v>83</v>
      </c>
      <c r="B715" s="6" t="s">
        <v>84</v>
      </c>
      <c r="C715" s="6" t="s">
        <v>18</v>
      </c>
      <c r="D715" s="6" t="s">
        <v>85</v>
      </c>
      <c r="E715" s="6" t="s">
        <v>56</v>
      </c>
      <c r="F715" s="6" t="s">
        <v>45</v>
      </c>
      <c r="G715" s="6" t="s">
        <v>46</v>
      </c>
      <c r="H715" s="6" t="s">
        <v>42</v>
      </c>
      <c r="I715" s="7" t="n">
        <v>5</v>
      </c>
      <c r="J715" s="7" t="n">
        <v>10</v>
      </c>
      <c r="K715" s="6" t="s">
        <v>29</v>
      </c>
      <c r="L715" s="6" t="n">
        <v>150</v>
      </c>
      <c r="M715" s="7" t="n">
        <f aca="false">L715*J715</f>
        <v>1500</v>
      </c>
      <c r="N715" s="7" t="n">
        <f aca="false">L715*I715</f>
        <v>750</v>
      </c>
      <c r="O715" s="7" t="n">
        <f aca="false">M715-N715</f>
        <v>750</v>
      </c>
      <c r="P715" s="8" t="n">
        <f aca="false">IFERROR(O715/M715,0)</f>
        <v>0.5</v>
      </c>
    </row>
    <row r="716" customFormat="false" ht="15" hidden="false" customHeight="true" outlineLevel="0" collapsed="false">
      <c r="A716" s="3" t="s">
        <v>83</v>
      </c>
      <c r="B716" s="3" t="s">
        <v>84</v>
      </c>
      <c r="C716" s="3" t="s">
        <v>18</v>
      </c>
      <c r="D716" s="3" t="s">
        <v>85</v>
      </c>
      <c r="E716" s="3" t="s">
        <v>56</v>
      </c>
      <c r="F716" s="3" t="s">
        <v>47</v>
      </c>
      <c r="G716" s="3" t="s">
        <v>48</v>
      </c>
      <c r="H716" s="3" t="s">
        <v>42</v>
      </c>
      <c r="I716" s="4" t="n">
        <v>2.8</v>
      </c>
      <c r="J716" s="4" t="n">
        <v>5.5</v>
      </c>
      <c r="K716" s="3" t="s">
        <v>24</v>
      </c>
      <c r="L716" s="3" t="n">
        <v>63</v>
      </c>
      <c r="M716" s="4" t="n">
        <f aca="false">L716*J716</f>
        <v>346.5</v>
      </c>
      <c r="N716" s="4" t="n">
        <f aca="false">L716*I716</f>
        <v>176.4</v>
      </c>
      <c r="O716" s="4" t="n">
        <f aca="false">M716-N716</f>
        <v>170.1</v>
      </c>
      <c r="P716" s="5" t="n">
        <f aca="false">IFERROR(O716/M716,0)</f>
        <v>0.490909090909091</v>
      </c>
    </row>
    <row r="717" customFormat="false" ht="15" hidden="false" customHeight="true" outlineLevel="0" collapsed="false">
      <c r="A717" s="6" t="s">
        <v>83</v>
      </c>
      <c r="B717" s="6" t="s">
        <v>84</v>
      </c>
      <c r="C717" s="6" t="s">
        <v>18</v>
      </c>
      <c r="D717" s="6" t="s">
        <v>85</v>
      </c>
      <c r="E717" s="6" t="s">
        <v>56</v>
      </c>
      <c r="F717" s="6" t="s">
        <v>47</v>
      </c>
      <c r="G717" s="6" t="s">
        <v>48</v>
      </c>
      <c r="H717" s="6" t="s">
        <v>42</v>
      </c>
      <c r="I717" s="7" t="n">
        <v>2.8</v>
      </c>
      <c r="J717" s="7" t="n">
        <v>5.5</v>
      </c>
      <c r="K717" s="6" t="s">
        <v>25</v>
      </c>
      <c r="L717" s="6" t="n">
        <v>271</v>
      </c>
      <c r="M717" s="7" t="n">
        <f aca="false">L717*J717</f>
        <v>1490.5</v>
      </c>
      <c r="N717" s="7" t="n">
        <f aca="false">L717*I717</f>
        <v>758.8</v>
      </c>
      <c r="O717" s="7" t="n">
        <f aca="false">M717-N717</f>
        <v>731.7</v>
      </c>
      <c r="P717" s="8" t="n">
        <f aca="false">IFERROR(O717/M717,0)</f>
        <v>0.490909090909091</v>
      </c>
    </row>
    <row r="718" customFormat="false" ht="15" hidden="false" customHeight="true" outlineLevel="0" collapsed="false">
      <c r="A718" s="3" t="s">
        <v>83</v>
      </c>
      <c r="B718" s="3" t="s">
        <v>84</v>
      </c>
      <c r="C718" s="3" t="s">
        <v>18</v>
      </c>
      <c r="D718" s="3" t="s">
        <v>85</v>
      </c>
      <c r="E718" s="3" t="s">
        <v>56</v>
      </c>
      <c r="F718" s="3" t="s">
        <v>47</v>
      </c>
      <c r="G718" s="3" t="s">
        <v>48</v>
      </c>
      <c r="H718" s="3" t="s">
        <v>42</v>
      </c>
      <c r="I718" s="4" t="n">
        <v>2.8</v>
      </c>
      <c r="J718" s="4" t="n">
        <v>5.5</v>
      </c>
      <c r="K718" s="3" t="s">
        <v>26</v>
      </c>
      <c r="L718" s="3" t="n">
        <v>292</v>
      </c>
      <c r="M718" s="4" t="n">
        <f aca="false">L718*J718</f>
        <v>1606</v>
      </c>
      <c r="N718" s="4" t="n">
        <f aca="false">L718*I718</f>
        <v>817.6</v>
      </c>
      <c r="O718" s="4" t="n">
        <f aca="false">M718-N718</f>
        <v>788.4</v>
      </c>
      <c r="P718" s="5" t="n">
        <f aca="false">IFERROR(O718/M718,0)</f>
        <v>0.490909090909091</v>
      </c>
    </row>
    <row r="719" customFormat="false" ht="15" hidden="false" customHeight="true" outlineLevel="0" collapsed="false">
      <c r="A719" s="6" t="s">
        <v>83</v>
      </c>
      <c r="B719" s="6" t="s">
        <v>84</v>
      </c>
      <c r="C719" s="6" t="s">
        <v>18</v>
      </c>
      <c r="D719" s="6" t="s">
        <v>85</v>
      </c>
      <c r="E719" s="6" t="s">
        <v>56</v>
      </c>
      <c r="F719" s="6" t="s">
        <v>47</v>
      </c>
      <c r="G719" s="6" t="s">
        <v>48</v>
      </c>
      <c r="H719" s="6" t="s">
        <v>42</v>
      </c>
      <c r="I719" s="7" t="n">
        <v>2.8</v>
      </c>
      <c r="J719" s="7" t="n">
        <v>5.5</v>
      </c>
      <c r="K719" s="6" t="s">
        <v>27</v>
      </c>
      <c r="L719" s="6" t="n">
        <v>214</v>
      </c>
      <c r="M719" s="7" t="n">
        <f aca="false">L719*J719</f>
        <v>1177</v>
      </c>
      <c r="N719" s="7" t="n">
        <f aca="false">L719*I719</f>
        <v>599.2</v>
      </c>
      <c r="O719" s="7" t="n">
        <f aca="false">M719-N719</f>
        <v>577.8</v>
      </c>
      <c r="P719" s="8" t="n">
        <f aca="false">IFERROR(O719/M719,0)</f>
        <v>0.490909090909091</v>
      </c>
    </row>
    <row r="720" customFormat="false" ht="15" hidden="false" customHeight="true" outlineLevel="0" collapsed="false">
      <c r="A720" s="3" t="s">
        <v>83</v>
      </c>
      <c r="B720" s="3" t="s">
        <v>84</v>
      </c>
      <c r="C720" s="3" t="s">
        <v>18</v>
      </c>
      <c r="D720" s="3" t="s">
        <v>85</v>
      </c>
      <c r="E720" s="3" t="s">
        <v>56</v>
      </c>
      <c r="F720" s="3" t="s">
        <v>47</v>
      </c>
      <c r="G720" s="3" t="s">
        <v>48</v>
      </c>
      <c r="H720" s="3" t="s">
        <v>42</v>
      </c>
      <c r="I720" s="4" t="n">
        <v>2.8</v>
      </c>
      <c r="J720" s="4" t="n">
        <v>5.5</v>
      </c>
      <c r="K720" s="3" t="s">
        <v>28</v>
      </c>
      <c r="L720" s="3" t="n">
        <v>223</v>
      </c>
      <c r="M720" s="4" t="n">
        <f aca="false">L720*J720</f>
        <v>1226.5</v>
      </c>
      <c r="N720" s="4" t="n">
        <f aca="false">L720*I720</f>
        <v>624.4</v>
      </c>
      <c r="O720" s="4" t="n">
        <f aca="false">M720-N720</f>
        <v>602.1</v>
      </c>
      <c r="P720" s="5" t="n">
        <f aca="false">IFERROR(O720/M720,0)</f>
        <v>0.490909090909091</v>
      </c>
    </row>
    <row r="721" customFormat="false" ht="15" hidden="false" customHeight="true" outlineLevel="0" collapsed="false">
      <c r="A721" s="6" t="s">
        <v>83</v>
      </c>
      <c r="B721" s="6" t="s">
        <v>84</v>
      </c>
      <c r="C721" s="6" t="s">
        <v>18</v>
      </c>
      <c r="D721" s="6" t="s">
        <v>85</v>
      </c>
      <c r="E721" s="6" t="s">
        <v>56</v>
      </c>
      <c r="F721" s="6" t="s">
        <v>47</v>
      </c>
      <c r="G721" s="6" t="s">
        <v>48</v>
      </c>
      <c r="H721" s="6" t="s">
        <v>42</v>
      </c>
      <c r="I721" s="7" t="n">
        <v>2.8</v>
      </c>
      <c r="J721" s="7" t="n">
        <v>5.5</v>
      </c>
      <c r="K721" s="6" t="s">
        <v>29</v>
      </c>
      <c r="L721" s="6" t="n">
        <v>323</v>
      </c>
      <c r="M721" s="7" t="n">
        <f aca="false">L721*J721</f>
        <v>1776.5</v>
      </c>
      <c r="N721" s="7" t="n">
        <f aca="false">L721*I721</f>
        <v>904.4</v>
      </c>
      <c r="O721" s="7" t="n">
        <f aca="false">M721-N721</f>
        <v>872.1</v>
      </c>
      <c r="P721" s="8" t="n">
        <f aca="false">IFERROR(O721/M721,0)</f>
        <v>0.490909090909091</v>
      </c>
    </row>
    <row r="722" customFormat="false" ht="15" hidden="false" customHeight="true" outlineLevel="0" collapsed="false">
      <c r="A722" s="3" t="s">
        <v>86</v>
      </c>
      <c r="B722" s="3" t="s">
        <v>87</v>
      </c>
      <c r="C722" s="3" t="s">
        <v>88</v>
      </c>
      <c r="D722" s="3" t="s">
        <v>60</v>
      </c>
      <c r="E722" s="3" t="s">
        <v>20</v>
      </c>
      <c r="F722" s="3" t="s">
        <v>21</v>
      </c>
      <c r="G722" s="3" t="s">
        <v>22</v>
      </c>
      <c r="H722" s="3" t="s">
        <v>23</v>
      </c>
      <c r="I722" s="4" t="n">
        <v>8.99</v>
      </c>
      <c r="J722" s="4" t="n">
        <v>22</v>
      </c>
      <c r="K722" s="3" t="s">
        <v>24</v>
      </c>
      <c r="L722" s="3" t="n">
        <v>274</v>
      </c>
      <c r="M722" s="4" t="n">
        <f aca="false">L722*J722</f>
        <v>6028</v>
      </c>
      <c r="N722" s="4" t="n">
        <f aca="false">L722*I722</f>
        <v>2463.26</v>
      </c>
      <c r="O722" s="4" t="n">
        <f aca="false">M722-N722</f>
        <v>3564.74</v>
      </c>
      <c r="P722" s="5" t="n">
        <f aca="false">IFERROR(O722/M722,0)</f>
        <v>0.591363636363636</v>
      </c>
    </row>
    <row r="723" customFormat="false" ht="15" hidden="false" customHeight="true" outlineLevel="0" collapsed="false">
      <c r="A723" s="6" t="s">
        <v>86</v>
      </c>
      <c r="B723" s="6" t="s">
        <v>87</v>
      </c>
      <c r="C723" s="6" t="s">
        <v>88</v>
      </c>
      <c r="D723" s="6" t="s">
        <v>60</v>
      </c>
      <c r="E723" s="6" t="s">
        <v>20</v>
      </c>
      <c r="F723" s="6" t="s">
        <v>21</v>
      </c>
      <c r="G723" s="6" t="s">
        <v>22</v>
      </c>
      <c r="H723" s="6" t="s">
        <v>23</v>
      </c>
      <c r="I723" s="7" t="n">
        <v>8.99</v>
      </c>
      <c r="J723" s="7" t="n">
        <v>22</v>
      </c>
      <c r="K723" s="6" t="s">
        <v>25</v>
      </c>
      <c r="L723" s="6" t="n">
        <v>173</v>
      </c>
      <c r="M723" s="7" t="n">
        <f aca="false">L723*J723</f>
        <v>3806</v>
      </c>
      <c r="N723" s="7" t="n">
        <f aca="false">L723*I723</f>
        <v>1555.27</v>
      </c>
      <c r="O723" s="7" t="n">
        <f aca="false">M723-N723</f>
        <v>2250.73</v>
      </c>
      <c r="P723" s="8" t="n">
        <f aca="false">IFERROR(O723/M723,0)</f>
        <v>0.591363636363636</v>
      </c>
    </row>
    <row r="724" customFormat="false" ht="15" hidden="false" customHeight="true" outlineLevel="0" collapsed="false">
      <c r="A724" s="3" t="s">
        <v>86</v>
      </c>
      <c r="B724" s="3" t="s">
        <v>87</v>
      </c>
      <c r="C724" s="3" t="s">
        <v>88</v>
      </c>
      <c r="D724" s="3" t="s">
        <v>60</v>
      </c>
      <c r="E724" s="3" t="s">
        <v>20</v>
      </c>
      <c r="F724" s="3" t="s">
        <v>21</v>
      </c>
      <c r="G724" s="3" t="s">
        <v>22</v>
      </c>
      <c r="H724" s="3" t="s">
        <v>23</v>
      </c>
      <c r="I724" s="4" t="n">
        <v>8.99</v>
      </c>
      <c r="J724" s="4" t="n">
        <v>22</v>
      </c>
      <c r="K724" s="3" t="s">
        <v>26</v>
      </c>
      <c r="L724" s="3" t="n">
        <v>64</v>
      </c>
      <c r="M724" s="4" t="n">
        <f aca="false">L724*J724</f>
        <v>1408</v>
      </c>
      <c r="N724" s="4" t="n">
        <f aca="false">L724*I724</f>
        <v>575.36</v>
      </c>
      <c r="O724" s="4" t="n">
        <f aca="false">M724-N724</f>
        <v>832.64</v>
      </c>
      <c r="P724" s="5" t="n">
        <f aca="false">IFERROR(O724/M724,0)</f>
        <v>0.591363636363636</v>
      </c>
    </row>
    <row r="725" customFormat="false" ht="15" hidden="false" customHeight="true" outlineLevel="0" collapsed="false">
      <c r="A725" s="6" t="s">
        <v>86</v>
      </c>
      <c r="B725" s="6" t="s">
        <v>87</v>
      </c>
      <c r="C725" s="6" t="s">
        <v>88</v>
      </c>
      <c r="D725" s="6" t="s">
        <v>60</v>
      </c>
      <c r="E725" s="6" t="s">
        <v>20</v>
      </c>
      <c r="F725" s="6" t="s">
        <v>21</v>
      </c>
      <c r="G725" s="6" t="s">
        <v>22</v>
      </c>
      <c r="H725" s="6" t="s">
        <v>23</v>
      </c>
      <c r="I725" s="7" t="n">
        <v>8.99</v>
      </c>
      <c r="J725" s="7" t="n">
        <v>22</v>
      </c>
      <c r="K725" s="6" t="s">
        <v>27</v>
      </c>
      <c r="L725" s="6" t="n">
        <v>295</v>
      </c>
      <c r="M725" s="7" t="n">
        <f aca="false">L725*J725</f>
        <v>6490</v>
      </c>
      <c r="N725" s="7" t="n">
        <f aca="false">L725*I725</f>
        <v>2652.05</v>
      </c>
      <c r="O725" s="7" t="n">
        <f aca="false">M725-N725</f>
        <v>3837.95</v>
      </c>
      <c r="P725" s="8" t="n">
        <f aca="false">IFERROR(O725/M725,0)</f>
        <v>0.591363636363636</v>
      </c>
    </row>
    <row r="726" customFormat="false" ht="15" hidden="false" customHeight="true" outlineLevel="0" collapsed="false">
      <c r="A726" s="3" t="s">
        <v>86</v>
      </c>
      <c r="B726" s="3" t="s">
        <v>87</v>
      </c>
      <c r="C726" s="3" t="s">
        <v>88</v>
      </c>
      <c r="D726" s="3" t="s">
        <v>60</v>
      </c>
      <c r="E726" s="3" t="s">
        <v>20</v>
      </c>
      <c r="F726" s="3" t="s">
        <v>21</v>
      </c>
      <c r="G726" s="3" t="s">
        <v>22</v>
      </c>
      <c r="H726" s="3" t="s">
        <v>23</v>
      </c>
      <c r="I726" s="4" t="n">
        <v>8.99</v>
      </c>
      <c r="J726" s="4" t="n">
        <v>22</v>
      </c>
      <c r="K726" s="3" t="s">
        <v>28</v>
      </c>
      <c r="L726" s="3" t="n">
        <v>229</v>
      </c>
      <c r="M726" s="4" t="n">
        <f aca="false">L726*J726</f>
        <v>5038</v>
      </c>
      <c r="N726" s="4" t="n">
        <f aca="false">L726*I726</f>
        <v>2058.71</v>
      </c>
      <c r="O726" s="4" t="n">
        <f aca="false">M726-N726</f>
        <v>2979.29</v>
      </c>
      <c r="P726" s="5" t="n">
        <f aca="false">IFERROR(O726/M726,0)</f>
        <v>0.591363636363636</v>
      </c>
    </row>
    <row r="727" customFormat="false" ht="15" hidden="false" customHeight="true" outlineLevel="0" collapsed="false">
      <c r="A727" s="6" t="s">
        <v>86</v>
      </c>
      <c r="B727" s="6" t="s">
        <v>87</v>
      </c>
      <c r="C727" s="6" t="s">
        <v>88</v>
      </c>
      <c r="D727" s="6" t="s">
        <v>60</v>
      </c>
      <c r="E727" s="6" t="s">
        <v>20</v>
      </c>
      <c r="F727" s="6" t="s">
        <v>21</v>
      </c>
      <c r="G727" s="6" t="s">
        <v>22</v>
      </c>
      <c r="H727" s="6" t="s">
        <v>23</v>
      </c>
      <c r="I727" s="7" t="n">
        <v>8.99</v>
      </c>
      <c r="J727" s="7" t="n">
        <v>22</v>
      </c>
      <c r="K727" s="6" t="s">
        <v>29</v>
      </c>
      <c r="L727" s="6" t="n">
        <v>330</v>
      </c>
      <c r="M727" s="7" t="n">
        <f aca="false">L727*J727</f>
        <v>7260</v>
      </c>
      <c r="N727" s="7" t="n">
        <f aca="false">L727*I727</f>
        <v>2966.7</v>
      </c>
      <c r="O727" s="7" t="n">
        <f aca="false">M727-N727</f>
        <v>4293.3</v>
      </c>
      <c r="P727" s="8" t="n">
        <f aca="false">IFERROR(O727/M727,0)</f>
        <v>0.591363636363636</v>
      </c>
    </row>
    <row r="728" customFormat="false" ht="15" hidden="false" customHeight="true" outlineLevel="0" collapsed="false">
      <c r="A728" s="3" t="s">
        <v>86</v>
      </c>
      <c r="B728" s="3" t="s">
        <v>87</v>
      </c>
      <c r="C728" s="3" t="s">
        <v>88</v>
      </c>
      <c r="D728" s="3" t="s">
        <v>60</v>
      </c>
      <c r="E728" s="3" t="s">
        <v>20</v>
      </c>
      <c r="F728" s="3" t="s">
        <v>30</v>
      </c>
      <c r="G728" s="3" t="s">
        <v>31</v>
      </c>
      <c r="H728" s="3" t="s">
        <v>23</v>
      </c>
      <c r="I728" s="4" t="n">
        <v>8.5</v>
      </c>
      <c r="J728" s="4" t="n">
        <v>21</v>
      </c>
      <c r="K728" s="3" t="s">
        <v>24</v>
      </c>
      <c r="L728" s="3" t="n">
        <v>60</v>
      </c>
      <c r="M728" s="4" t="n">
        <f aca="false">L728*J728</f>
        <v>1260</v>
      </c>
      <c r="N728" s="4" t="n">
        <f aca="false">L728*I728</f>
        <v>510</v>
      </c>
      <c r="O728" s="4" t="n">
        <f aca="false">M728-N728</f>
        <v>750</v>
      </c>
      <c r="P728" s="5" t="n">
        <f aca="false">IFERROR(O728/M728,0)</f>
        <v>0.595238095238095</v>
      </c>
    </row>
    <row r="729" customFormat="false" ht="15" hidden="false" customHeight="true" outlineLevel="0" collapsed="false">
      <c r="A729" s="6" t="s">
        <v>86</v>
      </c>
      <c r="B729" s="6" t="s">
        <v>87</v>
      </c>
      <c r="C729" s="6" t="s">
        <v>88</v>
      </c>
      <c r="D729" s="6" t="s">
        <v>60</v>
      </c>
      <c r="E729" s="6" t="s">
        <v>20</v>
      </c>
      <c r="F729" s="6" t="s">
        <v>30</v>
      </c>
      <c r="G729" s="6" t="s">
        <v>31</v>
      </c>
      <c r="H729" s="6" t="s">
        <v>23</v>
      </c>
      <c r="I729" s="7" t="n">
        <v>8.5</v>
      </c>
      <c r="J729" s="7" t="n">
        <v>21</v>
      </c>
      <c r="K729" s="6" t="s">
        <v>25</v>
      </c>
      <c r="L729" s="6" t="n">
        <v>159</v>
      </c>
      <c r="M729" s="7" t="n">
        <f aca="false">L729*J729</f>
        <v>3339</v>
      </c>
      <c r="N729" s="7" t="n">
        <f aca="false">L729*I729</f>
        <v>1351.5</v>
      </c>
      <c r="O729" s="7" t="n">
        <f aca="false">M729-N729</f>
        <v>1987.5</v>
      </c>
      <c r="P729" s="8" t="n">
        <f aca="false">IFERROR(O729/M729,0)</f>
        <v>0.595238095238095</v>
      </c>
    </row>
    <row r="730" customFormat="false" ht="15" hidden="false" customHeight="true" outlineLevel="0" collapsed="false">
      <c r="A730" s="3" t="s">
        <v>86</v>
      </c>
      <c r="B730" s="3" t="s">
        <v>87</v>
      </c>
      <c r="C730" s="3" t="s">
        <v>88</v>
      </c>
      <c r="D730" s="3" t="s">
        <v>60</v>
      </c>
      <c r="E730" s="3" t="s">
        <v>20</v>
      </c>
      <c r="F730" s="3" t="s">
        <v>30</v>
      </c>
      <c r="G730" s="3" t="s">
        <v>31</v>
      </c>
      <c r="H730" s="3" t="s">
        <v>23</v>
      </c>
      <c r="I730" s="4" t="n">
        <v>8.5</v>
      </c>
      <c r="J730" s="4" t="n">
        <v>21</v>
      </c>
      <c r="K730" s="3" t="s">
        <v>26</v>
      </c>
      <c r="L730" s="3" t="n">
        <v>92</v>
      </c>
      <c r="M730" s="4" t="n">
        <f aca="false">L730*J730</f>
        <v>1932</v>
      </c>
      <c r="N730" s="4" t="n">
        <f aca="false">L730*I730</f>
        <v>782</v>
      </c>
      <c r="O730" s="4" t="n">
        <f aca="false">M730-N730</f>
        <v>1150</v>
      </c>
      <c r="P730" s="5" t="n">
        <f aca="false">IFERROR(O730/M730,0)</f>
        <v>0.595238095238095</v>
      </c>
    </row>
    <row r="731" customFormat="false" ht="15" hidden="false" customHeight="true" outlineLevel="0" collapsed="false">
      <c r="A731" s="6" t="s">
        <v>86</v>
      </c>
      <c r="B731" s="6" t="s">
        <v>87</v>
      </c>
      <c r="C731" s="6" t="s">
        <v>88</v>
      </c>
      <c r="D731" s="6" t="s">
        <v>60</v>
      </c>
      <c r="E731" s="6" t="s">
        <v>20</v>
      </c>
      <c r="F731" s="6" t="s">
        <v>30</v>
      </c>
      <c r="G731" s="6" t="s">
        <v>31</v>
      </c>
      <c r="H731" s="6" t="s">
        <v>23</v>
      </c>
      <c r="I731" s="7" t="n">
        <v>8.5</v>
      </c>
      <c r="J731" s="7" t="n">
        <v>21</v>
      </c>
      <c r="K731" s="6" t="s">
        <v>27</v>
      </c>
      <c r="L731" s="6" t="n">
        <v>305</v>
      </c>
      <c r="M731" s="7" t="n">
        <f aca="false">L731*J731</f>
        <v>6405</v>
      </c>
      <c r="N731" s="7" t="n">
        <f aca="false">L731*I731</f>
        <v>2592.5</v>
      </c>
      <c r="O731" s="7" t="n">
        <f aca="false">M731-N731</f>
        <v>3812.5</v>
      </c>
      <c r="P731" s="8" t="n">
        <f aca="false">IFERROR(O731/M731,0)</f>
        <v>0.595238095238095</v>
      </c>
    </row>
    <row r="732" customFormat="false" ht="15" hidden="false" customHeight="true" outlineLevel="0" collapsed="false">
      <c r="A732" s="3" t="s">
        <v>86</v>
      </c>
      <c r="B732" s="3" t="s">
        <v>87</v>
      </c>
      <c r="C732" s="3" t="s">
        <v>88</v>
      </c>
      <c r="D732" s="3" t="s">
        <v>60</v>
      </c>
      <c r="E732" s="3" t="s">
        <v>20</v>
      </c>
      <c r="F732" s="3" t="s">
        <v>30</v>
      </c>
      <c r="G732" s="3" t="s">
        <v>31</v>
      </c>
      <c r="H732" s="3" t="s">
        <v>23</v>
      </c>
      <c r="I732" s="4" t="n">
        <v>8.5</v>
      </c>
      <c r="J732" s="4" t="n">
        <v>21</v>
      </c>
      <c r="K732" s="3" t="s">
        <v>28</v>
      </c>
      <c r="L732" s="3" t="n">
        <v>327</v>
      </c>
      <c r="M732" s="4" t="n">
        <f aca="false">L732*J732</f>
        <v>6867</v>
      </c>
      <c r="N732" s="4" t="n">
        <f aca="false">L732*I732</f>
        <v>2779.5</v>
      </c>
      <c r="O732" s="4" t="n">
        <f aca="false">M732-N732</f>
        <v>4087.5</v>
      </c>
      <c r="P732" s="5" t="n">
        <f aca="false">IFERROR(O732/M732,0)</f>
        <v>0.595238095238095</v>
      </c>
    </row>
    <row r="733" customFormat="false" ht="15" hidden="false" customHeight="true" outlineLevel="0" collapsed="false">
      <c r="A733" s="6" t="s">
        <v>86</v>
      </c>
      <c r="B733" s="6" t="s">
        <v>87</v>
      </c>
      <c r="C733" s="6" t="s">
        <v>88</v>
      </c>
      <c r="D733" s="6" t="s">
        <v>60</v>
      </c>
      <c r="E733" s="6" t="s">
        <v>20</v>
      </c>
      <c r="F733" s="6" t="s">
        <v>30</v>
      </c>
      <c r="G733" s="6" t="s">
        <v>31</v>
      </c>
      <c r="H733" s="6" t="s">
        <v>23</v>
      </c>
      <c r="I733" s="7" t="n">
        <v>8.5</v>
      </c>
      <c r="J733" s="7" t="n">
        <v>21</v>
      </c>
      <c r="K733" s="6" t="s">
        <v>29</v>
      </c>
      <c r="L733" s="6" t="n">
        <v>70</v>
      </c>
      <c r="M733" s="7" t="n">
        <f aca="false">L733*J733</f>
        <v>1470</v>
      </c>
      <c r="N733" s="7" t="n">
        <f aca="false">L733*I733</f>
        <v>595</v>
      </c>
      <c r="O733" s="7" t="n">
        <f aca="false">M733-N733</f>
        <v>875</v>
      </c>
      <c r="P733" s="8" t="n">
        <f aca="false">IFERROR(O733/M733,0)</f>
        <v>0.595238095238095</v>
      </c>
    </row>
    <row r="734" customFormat="false" ht="15" hidden="false" customHeight="true" outlineLevel="0" collapsed="false">
      <c r="A734" s="3" t="s">
        <v>86</v>
      </c>
      <c r="B734" s="3" t="s">
        <v>87</v>
      </c>
      <c r="C734" s="3" t="s">
        <v>88</v>
      </c>
      <c r="D734" s="3" t="s">
        <v>60</v>
      </c>
      <c r="E734" s="3" t="s">
        <v>20</v>
      </c>
      <c r="F734" s="3" t="s">
        <v>32</v>
      </c>
      <c r="G734" s="3" t="s">
        <v>33</v>
      </c>
      <c r="H734" s="3" t="s">
        <v>23</v>
      </c>
      <c r="I734" s="4" t="n">
        <v>2.5</v>
      </c>
      <c r="J734" s="4" t="n">
        <v>4.5</v>
      </c>
      <c r="K734" s="3" t="s">
        <v>24</v>
      </c>
      <c r="L734" s="3" t="n">
        <v>126</v>
      </c>
      <c r="M734" s="4" t="n">
        <f aca="false">L734*J734</f>
        <v>567</v>
      </c>
      <c r="N734" s="4" t="n">
        <f aca="false">L734*I734</f>
        <v>315</v>
      </c>
      <c r="O734" s="4" t="n">
        <f aca="false">M734-N734</f>
        <v>252</v>
      </c>
      <c r="P734" s="5" t="n">
        <f aca="false">IFERROR(O734/M734,0)</f>
        <v>0.444444444444444</v>
      </c>
    </row>
    <row r="735" customFormat="false" ht="15" hidden="false" customHeight="true" outlineLevel="0" collapsed="false">
      <c r="A735" s="6" t="s">
        <v>86</v>
      </c>
      <c r="B735" s="6" t="s">
        <v>87</v>
      </c>
      <c r="C735" s="6" t="s">
        <v>88</v>
      </c>
      <c r="D735" s="6" t="s">
        <v>60</v>
      </c>
      <c r="E735" s="6" t="s">
        <v>20</v>
      </c>
      <c r="F735" s="6" t="s">
        <v>32</v>
      </c>
      <c r="G735" s="6" t="s">
        <v>33</v>
      </c>
      <c r="H735" s="6" t="s">
        <v>23</v>
      </c>
      <c r="I735" s="7" t="n">
        <v>2.5</v>
      </c>
      <c r="J735" s="7" t="n">
        <v>4.5</v>
      </c>
      <c r="K735" s="6" t="s">
        <v>25</v>
      </c>
      <c r="L735" s="6" t="n">
        <v>265</v>
      </c>
      <c r="M735" s="7" t="n">
        <f aca="false">L735*J735</f>
        <v>1192.5</v>
      </c>
      <c r="N735" s="7" t="n">
        <f aca="false">L735*I735</f>
        <v>662.5</v>
      </c>
      <c r="O735" s="7" t="n">
        <f aca="false">M735-N735</f>
        <v>530</v>
      </c>
      <c r="P735" s="8" t="n">
        <f aca="false">IFERROR(O735/M735,0)</f>
        <v>0.444444444444444</v>
      </c>
    </row>
    <row r="736" customFormat="false" ht="15" hidden="false" customHeight="true" outlineLevel="0" collapsed="false">
      <c r="A736" s="3" t="s">
        <v>86</v>
      </c>
      <c r="B736" s="3" t="s">
        <v>87</v>
      </c>
      <c r="C736" s="3" t="s">
        <v>88</v>
      </c>
      <c r="D736" s="3" t="s">
        <v>60</v>
      </c>
      <c r="E736" s="3" t="s">
        <v>20</v>
      </c>
      <c r="F736" s="3" t="s">
        <v>32</v>
      </c>
      <c r="G736" s="3" t="s">
        <v>33</v>
      </c>
      <c r="H736" s="3" t="s">
        <v>23</v>
      </c>
      <c r="I736" s="4" t="n">
        <v>2.5</v>
      </c>
      <c r="J736" s="4" t="n">
        <v>4.5</v>
      </c>
      <c r="K736" s="3" t="s">
        <v>26</v>
      </c>
      <c r="L736" s="3" t="n">
        <v>108</v>
      </c>
      <c r="M736" s="4" t="n">
        <f aca="false">L736*J736</f>
        <v>486</v>
      </c>
      <c r="N736" s="4" t="n">
        <f aca="false">L736*I736</f>
        <v>270</v>
      </c>
      <c r="O736" s="4" t="n">
        <f aca="false">M736-N736</f>
        <v>216</v>
      </c>
      <c r="P736" s="5" t="n">
        <f aca="false">IFERROR(O736/M736,0)</f>
        <v>0.444444444444444</v>
      </c>
    </row>
    <row r="737" customFormat="false" ht="15" hidden="false" customHeight="true" outlineLevel="0" collapsed="false">
      <c r="A737" s="6" t="s">
        <v>86</v>
      </c>
      <c r="B737" s="6" t="s">
        <v>87</v>
      </c>
      <c r="C737" s="6" t="s">
        <v>88</v>
      </c>
      <c r="D737" s="6" t="s">
        <v>60</v>
      </c>
      <c r="E737" s="6" t="s">
        <v>20</v>
      </c>
      <c r="F737" s="6" t="s">
        <v>32</v>
      </c>
      <c r="G737" s="6" t="s">
        <v>33</v>
      </c>
      <c r="H737" s="6" t="s">
        <v>23</v>
      </c>
      <c r="I737" s="7" t="n">
        <v>2.5</v>
      </c>
      <c r="J737" s="7" t="n">
        <v>4.5</v>
      </c>
      <c r="K737" s="6" t="s">
        <v>27</v>
      </c>
      <c r="L737" s="6" t="n">
        <v>266</v>
      </c>
      <c r="M737" s="7" t="n">
        <f aca="false">L737*J737</f>
        <v>1197</v>
      </c>
      <c r="N737" s="7" t="n">
        <f aca="false">L737*I737</f>
        <v>665</v>
      </c>
      <c r="O737" s="7" t="n">
        <f aca="false">M737-N737</f>
        <v>532</v>
      </c>
      <c r="P737" s="8" t="n">
        <f aca="false">IFERROR(O737/M737,0)</f>
        <v>0.444444444444444</v>
      </c>
    </row>
    <row r="738" customFormat="false" ht="15" hidden="false" customHeight="true" outlineLevel="0" collapsed="false">
      <c r="A738" s="3" t="s">
        <v>86</v>
      </c>
      <c r="B738" s="3" t="s">
        <v>87</v>
      </c>
      <c r="C738" s="3" t="s">
        <v>88</v>
      </c>
      <c r="D738" s="3" t="s">
        <v>60</v>
      </c>
      <c r="E738" s="3" t="s">
        <v>20</v>
      </c>
      <c r="F738" s="3" t="s">
        <v>32</v>
      </c>
      <c r="G738" s="3" t="s">
        <v>33</v>
      </c>
      <c r="H738" s="3" t="s">
        <v>23</v>
      </c>
      <c r="I738" s="4" t="n">
        <v>2.5</v>
      </c>
      <c r="J738" s="4" t="n">
        <v>4.5</v>
      </c>
      <c r="K738" s="3" t="s">
        <v>28</v>
      </c>
      <c r="L738" s="3" t="n">
        <v>238</v>
      </c>
      <c r="M738" s="4" t="n">
        <f aca="false">L738*J738</f>
        <v>1071</v>
      </c>
      <c r="N738" s="4" t="n">
        <f aca="false">L738*I738</f>
        <v>595</v>
      </c>
      <c r="O738" s="4" t="n">
        <f aca="false">M738-N738</f>
        <v>476</v>
      </c>
      <c r="P738" s="5" t="n">
        <f aca="false">IFERROR(O738/M738,0)</f>
        <v>0.444444444444444</v>
      </c>
    </row>
    <row r="739" customFormat="false" ht="15" hidden="false" customHeight="true" outlineLevel="0" collapsed="false">
      <c r="A739" s="6" t="s">
        <v>86</v>
      </c>
      <c r="B739" s="6" t="s">
        <v>87</v>
      </c>
      <c r="C739" s="6" t="s">
        <v>88</v>
      </c>
      <c r="D739" s="6" t="s">
        <v>60</v>
      </c>
      <c r="E739" s="6" t="s">
        <v>20</v>
      </c>
      <c r="F739" s="6" t="s">
        <v>32</v>
      </c>
      <c r="G739" s="6" t="s">
        <v>33</v>
      </c>
      <c r="H739" s="6" t="s">
        <v>23</v>
      </c>
      <c r="I739" s="7" t="n">
        <v>2.5</v>
      </c>
      <c r="J739" s="7" t="n">
        <v>4.5</v>
      </c>
      <c r="K739" s="6" t="s">
        <v>29</v>
      </c>
      <c r="L739" s="6" t="n">
        <v>384</v>
      </c>
      <c r="M739" s="7" t="n">
        <f aca="false">L739*J739</f>
        <v>1728</v>
      </c>
      <c r="N739" s="7" t="n">
        <f aca="false">L739*I739</f>
        <v>960</v>
      </c>
      <c r="O739" s="7" t="n">
        <f aca="false">M739-N739</f>
        <v>768</v>
      </c>
      <c r="P739" s="8" t="n">
        <f aca="false">IFERROR(O739/M739,0)</f>
        <v>0.444444444444444</v>
      </c>
    </row>
    <row r="740" customFormat="false" ht="15" hidden="false" customHeight="true" outlineLevel="0" collapsed="false">
      <c r="A740" s="3" t="s">
        <v>86</v>
      </c>
      <c r="B740" s="3" t="s">
        <v>87</v>
      </c>
      <c r="C740" s="3" t="s">
        <v>88</v>
      </c>
      <c r="D740" s="3" t="s">
        <v>60</v>
      </c>
      <c r="E740" s="3" t="s">
        <v>20</v>
      </c>
      <c r="F740" s="3" t="s">
        <v>34</v>
      </c>
      <c r="G740" s="3" t="s">
        <v>35</v>
      </c>
      <c r="H740" s="3" t="s">
        <v>23</v>
      </c>
      <c r="I740" s="4" t="n">
        <v>6</v>
      </c>
      <c r="J740" s="4" t="n">
        <v>12.5</v>
      </c>
      <c r="K740" s="3" t="s">
        <v>24</v>
      </c>
      <c r="L740" s="3" t="n">
        <v>109</v>
      </c>
      <c r="M740" s="4" t="n">
        <f aca="false">L740*J740</f>
        <v>1362.5</v>
      </c>
      <c r="N740" s="4" t="n">
        <f aca="false">L740*I740</f>
        <v>654</v>
      </c>
      <c r="O740" s="4" t="n">
        <f aca="false">M740-N740</f>
        <v>708.5</v>
      </c>
      <c r="P740" s="5" t="n">
        <f aca="false">IFERROR(O740/M740,0)</f>
        <v>0.52</v>
      </c>
    </row>
    <row r="741" customFormat="false" ht="15" hidden="false" customHeight="true" outlineLevel="0" collapsed="false">
      <c r="A741" s="6" t="s">
        <v>86</v>
      </c>
      <c r="B741" s="6" t="s">
        <v>87</v>
      </c>
      <c r="C741" s="6" t="s">
        <v>88</v>
      </c>
      <c r="D741" s="6" t="s">
        <v>60</v>
      </c>
      <c r="E741" s="6" t="s">
        <v>20</v>
      </c>
      <c r="F741" s="6" t="s">
        <v>34</v>
      </c>
      <c r="G741" s="6" t="s">
        <v>35</v>
      </c>
      <c r="H741" s="6" t="s">
        <v>23</v>
      </c>
      <c r="I741" s="7" t="n">
        <v>6</v>
      </c>
      <c r="J741" s="7" t="n">
        <v>12.5</v>
      </c>
      <c r="K741" s="6" t="s">
        <v>25</v>
      </c>
      <c r="L741" s="6" t="n">
        <v>152</v>
      </c>
      <c r="M741" s="7" t="n">
        <f aca="false">L741*J741</f>
        <v>1900</v>
      </c>
      <c r="N741" s="7" t="n">
        <f aca="false">L741*I741</f>
        <v>912</v>
      </c>
      <c r="O741" s="7" t="n">
        <f aca="false">M741-N741</f>
        <v>988</v>
      </c>
      <c r="P741" s="8" t="n">
        <f aca="false">IFERROR(O741/M741,0)</f>
        <v>0.52</v>
      </c>
    </row>
    <row r="742" customFormat="false" ht="15" hidden="false" customHeight="true" outlineLevel="0" collapsed="false">
      <c r="A742" s="3" t="s">
        <v>86</v>
      </c>
      <c r="B742" s="3" t="s">
        <v>87</v>
      </c>
      <c r="C742" s="3" t="s">
        <v>88</v>
      </c>
      <c r="D742" s="3" t="s">
        <v>60</v>
      </c>
      <c r="E742" s="3" t="s">
        <v>20</v>
      </c>
      <c r="F742" s="3" t="s">
        <v>34</v>
      </c>
      <c r="G742" s="3" t="s">
        <v>35</v>
      </c>
      <c r="H742" s="3" t="s">
        <v>23</v>
      </c>
      <c r="I742" s="4" t="n">
        <v>6</v>
      </c>
      <c r="J742" s="4" t="n">
        <v>12.5</v>
      </c>
      <c r="K742" s="3" t="s">
        <v>26</v>
      </c>
      <c r="L742" s="3" t="n">
        <v>285</v>
      </c>
      <c r="M742" s="4" t="n">
        <f aca="false">L742*J742</f>
        <v>3562.5</v>
      </c>
      <c r="N742" s="4" t="n">
        <f aca="false">L742*I742</f>
        <v>1710</v>
      </c>
      <c r="O742" s="4" t="n">
        <f aca="false">M742-N742</f>
        <v>1852.5</v>
      </c>
      <c r="P742" s="5" t="n">
        <f aca="false">IFERROR(O742/M742,0)</f>
        <v>0.52</v>
      </c>
    </row>
    <row r="743" customFormat="false" ht="15" hidden="false" customHeight="true" outlineLevel="0" collapsed="false">
      <c r="A743" s="6" t="s">
        <v>86</v>
      </c>
      <c r="B743" s="6" t="s">
        <v>87</v>
      </c>
      <c r="C743" s="6" t="s">
        <v>88</v>
      </c>
      <c r="D743" s="6" t="s">
        <v>60</v>
      </c>
      <c r="E743" s="6" t="s">
        <v>20</v>
      </c>
      <c r="F743" s="6" t="s">
        <v>34</v>
      </c>
      <c r="G743" s="6" t="s">
        <v>35</v>
      </c>
      <c r="H743" s="6" t="s">
        <v>23</v>
      </c>
      <c r="I743" s="7" t="n">
        <v>6</v>
      </c>
      <c r="J743" s="7" t="n">
        <v>12.5</v>
      </c>
      <c r="K743" s="6" t="s">
        <v>27</v>
      </c>
      <c r="L743" s="6" t="n">
        <v>320</v>
      </c>
      <c r="M743" s="7" t="n">
        <f aca="false">L743*J743</f>
        <v>4000</v>
      </c>
      <c r="N743" s="7" t="n">
        <f aca="false">L743*I743</f>
        <v>1920</v>
      </c>
      <c r="O743" s="7" t="n">
        <f aca="false">M743-N743</f>
        <v>2080</v>
      </c>
      <c r="P743" s="8" t="n">
        <f aca="false">IFERROR(O743/M743,0)</f>
        <v>0.52</v>
      </c>
    </row>
    <row r="744" customFormat="false" ht="15" hidden="false" customHeight="true" outlineLevel="0" collapsed="false">
      <c r="A744" s="3" t="s">
        <v>86</v>
      </c>
      <c r="B744" s="3" t="s">
        <v>87</v>
      </c>
      <c r="C744" s="3" t="s">
        <v>88</v>
      </c>
      <c r="D744" s="3" t="s">
        <v>60</v>
      </c>
      <c r="E744" s="3" t="s">
        <v>20</v>
      </c>
      <c r="F744" s="3" t="s">
        <v>34</v>
      </c>
      <c r="G744" s="3" t="s">
        <v>35</v>
      </c>
      <c r="H744" s="3" t="s">
        <v>23</v>
      </c>
      <c r="I744" s="4" t="n">
        <v>6</v>
      </c>
      <c r="J744" s="4" t="n">
        <v>12.5</v>
      </c>
      <c r="K744" s="3" t="s">
        <v>28</v>
      </c>
      <c r="L744" s="3" t="n">
        <v>134</v>
      </c>
      <c r="M744" s="4" t="n">
        <f aca="false">L744*J744</f>
        <v>1675</v>
      </c>
      <c r="N744" s="4" t="n">
        <f aca="false">L744*I744</f>
        <v>804</v>
      </c>
      <c r="O744" s="4" t="n">
        <f aca="false">M744-N744</f>
        <v>871</v>
      </c>
      <c r="P744" s="5" t="n">
        <f aca="false">IFERROR(O744/M744,0)</f>
        <v>0.52</v>
      </c>
    </row>
    <row r="745" customFormat="false" ht="15" hidden="false" customHeight="true" outlineLevel="0" collapsed="false">
      <c r="A745" s="6" t="s">
        <v>86</v>
      </c>
      <c r="B745" s="6" t="s">
        <v>87</v>
      </c>
      <c r="C745" s="6" t="s">
        <v>88</v>
      </c>
      <c r="D745" s="6" t="s">
        <v>60</v>
      </c>
      <c r="E745" s="6" t="s">
        <v>20</v>
      </c>
      <c r="F745" s="6" t="s">
        <v>34</v>
      </c>
      <c r="G745" s="6" t="s">
        <v>35</v>
      </c>
      <c r="H745" s="6" t="s">
        <v>23</v>
      </c>
      <c r="I745" s="7" t="n">
        <v>6</v>
      </c>
      <c r="J745" s="7" t="n">
        <v>12.5</v>
      </c>
      <c r="K745" s="6" t="s">
        <v>29</v>
      </c>
      <c r="L745" s="6" t="n">
        <v>285</v>
      </c>
      <c r="M745" s="7" t="n">
        <f aca="false">L745*J745</f>
        <v>3562.5</v>
      </c>
      <c r="N745" s="7" t="n">
        <f aca="false">L745*I745</f>
        <v>1710</v>
      </c>
      <c r="O745" s="7" t="n">
        <f aca="false">M745-N745</f>
        <v>1852.5</v>
      </c>
      <c r="P745" s="8" t="n">
        <f aca="false">IFERROR(O745/M745,0)</f>
        <v>0.52</v>
      </c>
    </row>
    <row r="746" customFormat="false" ht="15" hidden="false" customHeight="true" outlineLevel="0" collapsed="false">
      <c r="A746" s="3" t="s">
        <v>86</v>
      </c>
      <c r="B746" s="3" t="s">
        <v>87</v>
      </c>
      <c r="C746" s="3" t="s">
        <v>88</v>
      </c>
      <c r="D746" s="3" t="s">
        <v>60</v>
      </c>
      <c r="E746" s="3" t="s">
        <v>20</v>
      </c>
      <c r="F746" s="3" t="s">
        <v>36</v>
      </c>
      <c r="G746" s="3" t="s">
        <v>37</v>
      </c>
      <c r="H746" s="3" t="s">
        <v>23</v>
      </c>
      <c r="I746" s="4" t="n">
        <v>4.5</v>
      </c>
      <c r="J746" s="4" t="n">
        <v>7</v>
      </c>
      <c r="K746" s="3" t="s">
        <v>24</v>
      </c>
      <c r="L746" s="3" t="n">
        <v>231</v>
      </c>
      <c r="M746" s="4" t="n">
        <f aca="false">L746*J746</f>
        <v>1617</v>
      </c>
      <c r="N746" s="4" t="n">
        <f aca="false">L746*I746</f>
        <v>1039.5</v>
      </c>
      <c r="O746" s="4" t="n">
        <f aca="false">M746-N746</f>
        <v>577.5</v>
      </c>
      <c r="P746" s="5" t="n">
        <f aca="false">IFERROR(O746/M746,0)</f>
        <v>0.357142857142857</v>
      </c>
    </row>
    <row r="747" customFormat="false" ht="15" hidden="false" customHeight="true" outlineLevel="0" collapsed="false">
      <c r="A747" s="6" t="s">
        <v>86</v>
      </c>
      <c r="B747" s="6" t="s">
        <v>87</v>
      </c>
      <c r="C747" s="6" t="s">
        <v>88</v>
      </c>
      <c r="D747" s="6" t="s">
        <v>60</v>
      </c>
      <c r="E747" s="6" t="s">
        <v>20</v>
      </c>
      <c r="F747" s="6" t="s">
        <v>36</v>
      </c>
      <c r="G747" s="6" t="s">
        <v>37</v>
      </c>
      <c r="H747" s="6" t="s">
        <v>23</v>
      </c>
      <c r="I747" s="7" t="n">
        <v>4.5</v>
      </c>
      <c r="J747" s="7" t="n">
        <v>7</v>
      </c>
      <c r="K747" s="6" t="s">
        <v>25</v>
      </c>
      <c r="L747" s="6" t="n">
        <v>201</v>
      </c>
      <c r="M747" s="7" t="n">
        <f aca="false">L747*J747</f>
        <v>1407</v>
      </c>
      <c r="N747" s="7" t="n">
        <f aca="false">L747*I747</f>
        <v>904.5</v>
      </c>
      <c r="O747" s="7" t="n">
        <f aca="false">M747-N747</f>
        <v>502.5</v>
      </c>
      <c r="P747" s="8" t="n">
        <f aca="false">IFERROR(O747/M747,0)</f>
        <v>0.357142857142857</v>
      </c>
    </row>
    <row r="748" customFormat="false" ht="15" hidden="false" customHeight="true" outlineLevel="0" collapsed="false">
      <c r="A748" s="3" t="s">
        <v>86</v>
      </c>
      <c r="B748" s="3" t="s">
        <v>87</v>
      </c>
      <c r="C748" s="3" t="s">
        <v>88</v>
      </c>
      <c r="D748" s="3" t="s">
        <v>60</v>
      </c>
      <c r="E748" s="3" t="s">
        <v>20</v>
      </c>
      <c r="F748" s="3" t="s">
        <v>36</v>
      </c>
      <c r="G748" s="3" t="s">
        <v>37</v>
      </c>
      <c r="H748" s="3" t="s">
        <v>23</v>
      </c>
      <c r="I748" s="4" t="n">
        <v>4.5</v>
      </c>
      <c r="J748" s="4" t="n">
        <v>7</v>
      </c>
      <c r="K748" s="3" t="s">
        <v>26</v>
      </c>
      <c r="L748" s="3" t="n">
        <v>71</v>
      </c>
      <c r="M748" s="4" t="n">
        <f aca="false">L748*J748</f>
        <v>497</v>
      </c>
      <c r="N748" s="4" t="n">
        <f aca="false">L748*I748</f>
        <v>319.5</v>
      </c>
      <c r="O748" s="4" t="n">
        <f aca="false">M748-N748</f>
        <v>177.5</v>
      </c>
      <c r="P748" s="5" t="n">
        <f aca="false">IFERROR(O748/M748,0)</f>
        <v>0.357142857142857</v>
      </c>
    </row>
    <row r="749" customFormat="false" ht="15" hidden="false" customHeight="true" outlineLevel="0" collapsed="false">
      <c r="A749" s="6" t="s">
        <v>86</v>
      </c>
      <c r="B749" s="6" t="s">
        <v>87</v>
      </c>
      <c r="C749" s="6" t="s">
        <v>88</v>
      </c>
      <c r="D749" s="6" t="s">
        <v>60</v>
      </c>
      <c r="E749" s="6" t="s">
        <v>20</v>
      </c>
      <c r="F749" s="6" t="s">
        <v>36</v>
      </c>
      <c r="G749" s="6" t="s">
        <v>37</v>
      </c>
      <c r="H749" s="6" t="s">
        <v>23</v>
      </c>
      <c r="I749" s="7" t="n">
        <v>4.5</v>
      </c>
      <c r="J749" s="7" t="n">
        <v>7</v>
      </c>
      <c r="K749" s="6" t="s">
        <v>27</v>
      </c>
      <c r="L749" s="6" t="n">
        <v>203</v>
      </c>
      <c r="M749" s="7" t="n">
        <f aca="false">L749*J749</f>
        <v>1421</v>
      </c>
      <c r="N749" s="7" t="n">
        <f aca="false">L749*I749</f>
        <v>913.5</v>
      </c>
      <c r="O749" s="7" t="n">
        <f aca="false">M749-N749</f>
        <v>507.5</v>
      </c>
      <c r="P749" s="8" t="n">
        <f aca="false">IFERROR(O749/M749,0)</f>
        <v>0.357142857142857</v>
      </c>
    </row>
    <row r="750" customFormat="false" ht="15" hidden="false" customHeight="true" outlineLevel="0" collapsed="false">
      <c r="A750" s="3" t="s">
        <v>86</v>
      </c>
      <c r="B750" s="3" t="s">
        <v>87</v>
      </c>
      <c r="C750" s="3" t="s">
        <v>88</v>
      </c>
      <c r="D750" s="3" t="s">
        <v>60</v>
      </c>
      <c r="E750" s="3" t="s">
        <v>20</v>
      </c>
      <c r="F750" s="3" t="s">
        <v>36</v>
      </c>
      <c r="G750" s="3" t="s">
        <v>37</v>
      </c>
      <c r="H750" s="3" t="s">
        <v>23</v>
      </c>
      <c r="I750" s="4" t="n">
        <v>4.5</v>
      </c>
      <c r="J750" s="4" t="n">
        <v>7</v>
      </c>
      <c r="K750" s="3" t="s">
        <v>28</v>
      </c>
      <c r="L750" s="3" t="n">
        <v>230</v>
      </c>
      <c r="M750" s="4" t="n">
        <f aca="false">L750*J750</f>
        <v>1610</v>
      </c>
      <c r="N750" s="4" t="n">
        <f aca="false">L750*I750</f>
        <v>1035</v>
      </c>
      <c r="O750" s="4" t="n">
        <f aca="false">M750-N750</f>
        <v>575</v>
      </c>
      <c r="P750" s="5" t="n">
        <f aca="false">IFERROR(O750/M750,0)</f>
        <v>0.357142857142857</v>
      </c>
    </row>
    <row r="751" customFormat="false" ht="15" hidden="false" customHeight="true" outlineLevel="0" collapsed="false">
      <c r="A751" s="6" t="s">
        <v>86</v>
      </c>
      <c r="B751" s="6" t="s">
        <v>87</v>
      </c>
      <c r="C751" s="6" t="s">
        <v>88</v>
      </c>
      <c r="D751" s="6" t="s">
        <v>60</v>
      </c>
      <c r="E751" s="6" t="s">
        <v>20</v>
      </c>
      <c r="F751" s="6" t="s">
        <v>36</v>
      </c>
      <c r="G751" s="6" t="s">
        <v>37</v>
      </c>
      <c r="H751" s="6" t="s">
        <v>23</v>
      </c>
      <c r="I751" s="7" t="n">
        <v>4.5</v>
      </c>
      <c r="J751" s="7" t="n">
        <v>7</v>
      </c>
      <c r="K751" s="6" t="s">
        <v>29</v>
      </c>
      <c r="L751" s="6" t="n">
        <v>294</v>
      </c>
      <c r="M751" s="7" t="n">
        <f aca="false">L751*J751</f>
        <v>2058</v>
      </c>
      <c r="N751" s="7" t="n">
        <f aca="false">L751*I751</f>
        <v>1323</v>
      </c>
      <c r="O751" s="7" t="n">
        <f aca="false">M751-N751</f>
        <v>735</v>
      </c>
      <c r="P751" s="8" t="n">
        <f aca="false">IFERROR(O751/M751,0)</f>
        <v>0.357142857142857</v>
      </c>
    </row>
    <row r="752" customFormat="false" ht="15" hidden="false" customHeight="true" outlineLevel="0" collapsed="false">
      <c r="A752" s="3" t="s">
        <v>86</v>
      </c>
      <c r="B752" s="3" t="s">
        <v>87</v>
      </c>
      <c r="C752" s="3" t="s">
        <v>88</v>
      </c>
      <c r="D752" s="3" t="s">
        <v>60</v>
      </c>
      <c r="E752" s="3" t="s">
        <v>20</v>
      </c>
      <c r="F752" s="3" t="s">
        <v>38</v>
      </c>
      <c r="G752" s="3" t="s">
        <v>39</v>
      </c>
      <c r="H752" s="3" t="s">
        <v>23</v>
      </c>
      <c r="I752" s="4" t="n">
        <v>9.9</v>
      </c>
      <c r="J752" s="4" t="n">
        <v>18</v>
      </c>
      <c r="K752" s="3" t="s">
        <v>24</v>
      </c>
      <c r="L752" s="3" t="n">
        <v>168</v>
      </c>
      <c r="M752" s="4" t="n">
        <f aca="false">L752*J752</f>
        <v>3024</v>
      </c>
      <c r="N752" s="4" t="n">
        <f aca="false">L752*I752</f>
        <v>1663.2</v>
      </c>
      <c r="O752" s="4" t="n">
        <f aca="false">M752-N752</f>
        <v>1360.8</v>
      </c>
      <c r="P752" s="5" t="n">
        <f aca="false">IFERROR(O752/M752,0)</f>
        <v>0.45</v>
      </c>
    </row>
    <row r="753" customFormat="false" ht="15" hidden="false" customHeight="true" outlineLevel="0" collapsed="false">
      <c r="A753" s="6" t="s">
        <v>86</v>
      </c>
      <c r="B753" s="6" t="s">
        <v>87</v>
      </c>
      <c r="C753" s="6" t="s">
        <v>88</v>
      </c>
      <c r="D753" s="6" t="s">
        <v>60</v>
      </c>
      <c r="E753" s="6" t="s">
        <v>20</v>
      </c>
      <c r="F753" s="6" t="s">
        <v>38</v>
      </c>
      <c r="G753" s="6" t="s">
        <v>39</v>
      </c>
      <c r="H753" s="6" t="s">
        <v>23</v>
      </c>
      <c r="I753" s="7" t="n">
        <v>9.9</v>
      </c>
      <c r="J753" s="7" t="n">
        <v>18</v>
      </c>
      <c r="K753" s="6" t="s">
        <v>25</v>
      </c>
      <c r="L753" s="6" t="n">
        <v>100</v>
      </c>
      <c r="M753" s="7" t="n">
        <f aca="false">L753*J753</f>
        <v>1800</v>
      </c>
      <c r="N753" s="7" t="n">
        <f aca="false">L753*I753</f>
        <v>990</v>
      </c>
      <c r="O753" s="7" t="n">
        <f aca="false">M753-N753</f>
        <v>810</v>
      </c>
      <c r="P753" s="8" t="n">
        <f aca="false">IFERROR(O753/M753,0)</f>
        <v>0.45</v>
      </c>
    </row>
    <row r="754" customFormat="false" ht="15" hidden="false" customHeight="true" outlineLevel="0" collapsed="false">
      <c r="A754" s="3" t="s">
        <v>86</v>
      </c>
      <c r="B754" s="3" t="s">
        <v>87</v>
      </c>
      <c r="C754" s="3" t="s">
        <v>88</v>
      </c>
      <c r="D754" s="3" t="s">
        <v>60</v>
      </c>
      <c r="E754" s="3" t="s">
        <v>20</v>
      </c>
      <c r="F754" s="3" t="s">
        <v>38</v>
      </c>
      <c r="G754" s="3" t="s">
        <v>39</v>
      </c>
      <c r="H754" s="3" t="s">
        <v>23</v>
      </c>
      <c r="I754" s="4" t="n">
        <v>9.9</v>
      </c>
      <c r="J754" s="4" t="n">
        <v>18</v>
      </c>
      <c r="K754" s="3" t="s">
        <v>26</v>
      </c>
      <c r="L754" s="3" t="n">
        <v>86</v>
      </c>
      <c r="M754" s="4" t="n">
        <f aca="false">L754*J754</f>
        <v>1548</v>
      </c>
      <c r="N754" s="4" t="n">
        <f aca="false">L754*I754</f>
        <v>851.4</v>
      </c>
      <c r="O754" s="4" t="n">
        <f aca="false">M754-N754</f>
        <v>696.6</v>
      </c>
      <c r="P754" s="5" t="n">
        <f aca="false">IFERROR(O754/M754,0)</f>
        <v>0.45</v>
      </c>
    </row>
    <row r="755" customFormat="false" ht="15" hidden="false" customHeight="true" outlineLevel="0" collapsed="false">
      <c r="A755" s="6" t="s">
        <v>86</v>
      </c>
      <c r="B755" s="6" t="s">
        <v>87</v>
      </c>
      <c r="C755" s="6" t="s">
        <v>88</v>
      </c>
      <c r="D755" s="6" t="s">
        <v>60</v>
      </c>
      <c r="E755" s="6" t="s">
        <v>20</v>
      </c>
      <c r="F755" s="6" t="s">
        <v>38</v>
      </c>
      <c r="G755" s="6" t="s">
        <v>39</v>
      </c>
      <c r="H755" s="6" t="s">
        <v>23</v>
      </c>
      <c r="I755" s="7" t="n">
        <v>9.9</v>
      </c>
      <c r="J755" s="7" t="n">
        <v>18</v>
      </c>
      <c r="K755" s="6" t="s">
        <v>27</v>
      </c>
      <c r="L755" s="6" t="n">
        <v>108</v>
      </c>
      <c r="M755" s="7" t="n">
        <f aca="false">L755*J755</f>
        <v>1944</v>
      </c>
      <c r="N755" s="7" t="n">
        <f aca="false">L755*I755</f>
        <v>1069.2</v>
      </c>
      <c r="O755" s="7" t="n">
        <f aca="false">M755-N755</f>
        <v>874.8</v>
      </c>
      <c r="P755" s="8" t="n">
        <f aca="false">IFERROR(O755/M755,0)</f>
        <v>0.45</v>
      </c>
    </row>
    <row r="756" customFormat="false" ht="15" hidden="false" customHeight="true" outlineLevel="0" collapsed="false">
      <c r="A756" s="3" t="s">
        <v>86</v>
      </c>
      <c r="B756" s="3" t="s">
        <v>87</v>
      </c>
      <c r="C756" s="3" t="s">
        <v>88</v>
      </c>
      <c r="D756" s="3" t="s">
        <v>60</v>
      </c>
      <c r="E756" s="3" t="s">
        <v>20</v>
      </c>
      <c r="F756" s="3" t="s">
        <v>38</v>
      </c>
      <c r="G756" s="3" t="s">
        <v>39</v>
      </c>
      <c r="H756" s="3" t="s">
        <v>23</v>
      </c>
      <c r="I756" s="4" t="n">
        <v>9.9</v>
      </c>
      <c r="J756" s="4" t="n">
        <v>18</v>
      </c>
      <c r="K756" s="3" t="s">
        <v>28</v>
      </c>
      <c r="L756" s="3" t="n">
        <v>235</v>
      </c>
      <c r="M756" s="4" t="n">
        <f aca="false">L756*J756</f>
        <v>4230</v>
      </c>
      <c r="N756" s="4" t="n">
        <f aca="false">L756*I756</f>
        <v>2326.5</v>
      </c>
      <c r="O756" s="4" t="n">
        <f aca="false">M756-N756</f>
        <v>1903.5</v>
      </c>
      <c r="P756" s="5" t="n">
        <f aca="false">IFERROR(O756/M756,0)</f>
        <v>0.45</v>
      </c>
    </row>
    <row r="757" customFormat="false" ht="15" hidden="false" customHeight="true" outlineLevel="0" collapsed="false">
      <c r="A757" s="6" t="s">
        <v>86</v>
      </c>
      <c r="B757" s="6" t="s">
        <v>87</v>
      </c>
      <c r="C757" s="6" t="s">
        <v>88</v>
      </c>
      <c r="D757" s="6" t="s">
        <v>60</v>
      </c>
      <c r="E757" s="6" t="s">
        <v>20</v>
      </c>
      <c r="F757" s="6" t="s">
        <v>38</v>
      </c>
      <c r="G757" s="6" t="s">
        <v>39</v>
      </c>
      <c r="H757" s="6" t="s">
        <v>23</v>
      </c>
      <c r="I757" s="7" t="n">
        <v>9.9</v>
      </c>
      <c r="J757" s="7" t="n">
        <v>18</v>
      </c>
      <c r="K757" s="6" t="s">
        <v>29</v>
      </c>
      <c r="L757" s="6" t="n">
        <v>293</v>
      </c>
      <c r="M757" s="7" t="n">
        <f aca="false">L757*J757</f>
        <v>5274</v>
      </c>
      <c r="N757" s="7" t="n">
        <f aca="false">L757*I757</f>
        <v>2900.7</v>
      </c>
      <c r="O757" s="7" t="n">
        <f aca="false">M757-N757</f>
        <v>2373.3</v>
      </c>
      <c r="P757" s="8" t="n">
        <f aca="false">IFERROR(O757/M757,0)</f>
        <v>0.45</v>
      </c>
    </row>
    <row r="758" customFormat="false" ht="15" hidden="false" customHeight="true" outlineLevel="0" collapsed="false">
      <c r="A758" s="3" t="s">
        <v>86</v>
      </c>
      <c r="B758" s="3" t="s">
        <v>87</v>
      </c>
      <c r="C758" s="3" t="s">
        <v>88</v>
      </c>
      <c r="D758" s="3" t="s">
        <v>60</v>
      </c>
      <c r="E758" s="3" t="s">
        <v>20</v>
      </c>
      <c r="F758" s="3" t="s">
        <v>40</v>
      </c>
      <c r="G758" s="3" t="s">
        <v>41</v>
      </c>
      <c r="H758" s="3" t="s">
        <v>42</v>
      </c>
      <c r="I758" s="4" t="n">
        <v>3.5</v>
      </c>
      <c r="J758" s="4" t="n">
        <v>6.5</v>
      </c>
      <c r="K758" s="3" t="s">
        <v>24</v>
      </c>
      <c r="L758" s="3" t="n">
        <v>72</v>
      </c>
      <c r="M758" s="4" t="n">
        <f aca="false">L758*J758</f>
        <v>468</v>
      </c>
      <c r="N758" s="4" t="n">
        <f aca="false">L758*I758</f>
        <v>252</v>
      </c>
      <c r="O758" s="4" t="n">
        <f aca="false">M758-N758</f>
        <v>216</v>
      </c>
      <c r="P758" s="5" t="n">
        <f aca="false">IFERROR(O758/M758,0)</f>
        <v>0.461538461538462</v>
      </c>
    </row>
    <row r="759" customFormat="false" ht="15" hidden="false" customHeight="true" outlineLevel="0" collapsed="false">
      <c r="A759" s="6" t="s">
        <v>86</v>
      </c>
      <c r="B759" s="6" t="s">
        <v>87</v>
      </c>
      <c r="C759" s="6" t="s">
        <v>88</v>
      </c>
      <c r="D759" s="6" t="s">
        <v>60</v>
      </c>
      <c r="E759" s="6" t="s">
        <v>20</v>
      </c>
      <c r="F759" s="6" t="s">
        <v>40</v>
      </c>
      <c r="G759" s="6" t="s">
        <v>41</v>
      </c>
      <c r="H759" s="6" t="s">
        <v>42</v>
      </c>
      <c r="I759" s="7" t="n">
        <v>3.5</v>
      </c>
      <c r="J759" s="7" t="n">
        <v>6.5</v>
      </c>
      <c r="K759" s="6" t="s">
        <v>25</v>
      </c>
      <c r="L759" s="6" t="n">
        <v>220</v>
      </c>
      <c r="M759" s="7" t="n">
        <f aca="false">L759*J759</f>
        <v>1430</v>
      </c>
      <c r="N759" s="7" t="n">
        <f aca="false">L759*I759</f>
        <v>770</v>
      </c>
      <c r="O759" s="7" t="n">
        <f aca="false">M759-N759</f>
        <v>660</v>
      </c>
      <c r="P759" s="8" t="n">
        <f aca="false">IFERROR(O759/M759,0)</f>
        <v>0.461538461538462</v>
      </c>
    </row>
    <row r="760" customFormat="false" ht="15" hidden="false" customHeight="true" outlineLevel="0" collapsed="false">
      <c r="A760" s="3" t="s">
        <v>86</v>
      </c>
      <c r="B760" s="3" t="s">
        <v>87</v>
      </c>
      <c r="C760" s="3" t="s">
        <v>88</v>
      </c>
      <c r="D760" s="3" t="s">
        <v>60</v>
      </c>
      <c r="E760" s="3" t="s">
        <v>20</v>
      </c>
      <c r="F760" s="3" t="s">
        <v>40</v>
      </c>
      <c r="G760" s="3" t="s">
        <v>41</v>
      </c>
      <c r="H760" s="3" t="s">
        <v>42</v>
      </c>
      <c r="I760" s="4" t="n">
        <v>3.5</v>
      </c>
      <c r="J760" s="4" t="n">
        <v>6.5</v>
      </c>
      <c r="K760" s="3" t="s">
        <v>26</v>
      </c>
      <c r="L760" s="3" t="n">
        <v>211</v>
      </c>
      <c r="M760" s="4" t="n">
        <f aca="false">L760*J760</f>
        <v>1371.5</v>
      </c>
      <c r="N760" s="4" t="n">
        <f aca="false">L760*I760</f>
        <v>738.5</v>
      </c>
      <c r="O760" s="4" t="n">
        <f aca="false">M760-N760</f>
        <v>633</v>
      </c>
      <c r="P760" s="5" t="n">
        <f aca="false">IFERROR(O760/M760,0)</f>
        <v>0.461538461538462</v>
      </c>
    </row>
    <row r="761" customFormat="false" ht="15" hidden="false" customHeight="true" outlineLevel="0" collapsed="false">
      <c r="A761" s="6" t="s">
        <v>86</v>
      </c>
      <c r="B761" s="6" t="s">
        <v>87</v>
      </c>
      <c r="C761" s="6" t="s">
        <v>88</v>
      </c>
      <c r="D761" s="6" t="s">
        <v>60</v>
      </c>
      <c r="E761" s="6" t="s">
        <v>20</v>
      </c>
      <c r="F761" s="6" t="s">
        <v>40</v>
      </c>
      <c r="G761" s="6" t="s">
        <v>41</v>
      </c>
      <c r="H761" s="6" t="s">
        <v>42</v>
      </c>
      <c r="I761" s="7" t="n">
        <v>3.5</v>
      </c>
      <c r="J761" s="7" t="n">
        <v>6.5</v>
      </c>
      <c r="K761" s="6" t="s">
        <v>27</v>
      </c>
      <c r="L761" s="6" t="n">
        <v>305</v>
      </c>
      <c r="M761" s="7" t="n">
        <f aca="false">L761*J761</f>
        <v>1982.5</v>
      </c>
      <c r="N761" s="7" t="n">
        <f aca="false">L761*I761</f>
        <v>1067.5</v>
      </c>
      <c r="O761" s="7" t="n">
        <f aca="false">M761-N761</f>
        <v>915</v>
      </c>
      <c r="P761" s="8" t="n">
        <f aca="false">IFERROR(O761/M761,0)</f>
        <v>0.461538461538462</v>
      </c>
    </row>
    <row r="762" customFormat="false" ht="15" hidden="false" customHeight="true" outlineLevel="0" collapsed="false">
      <c r="A762" s="3" t="s">
        <v>86</v>
      </c>
      <c r="B762" s="3" t="s">
        <v>87</v>
      </c>
      <c r="C762" s="3" t="s">
        <v>88</v>
      </c>
      <c r="D762" s="3" t="s">
        <v>60</v>
      </c>
      <c r="E762" s="3" t="s">
        <v>20</v>
      </c>
      <c r="F762" s="3" t="s">
        <v>40</v>
      </c>
      <c r="G762" s="3" t="s">
        <v>41</v>
      </c>
      <c r="H762" s="3" t="s">
        <v>42</v>
      </c>
      <c r="I762" s="4" t="n">
        <v>3.5</v>
      </c>
      <c r="J762" s="4" t="n">
        <v>6.5</v>
      </c>
      <c r="K762" s="3" t="s">
        <v>28</v>
      </c>
      <c r="L762" s="3" t="n">
        <v>301</v>
      </c>
      <c r="M762" s="4" t="n">
        <f aca="false">L762*J762</f>
        <v>1956.5</v>
      </c>
      <c r="N762" s="4" t="n">
        <f aca="false">L762*I762</f>
        <v>1053.5</v>
      </c>
      <c r="O762" s="4" t="n">
        <f aca="false">M762-N762</f>
        <v>903</v>
      </c>
      <c r="P762" s="5" t="n">
        <f aca="false">IFERROR(O762/M762,0)</f>
        <v>0.461538461538462</v>
      </c>
    </row>
    <row r="763" customFormat="false" ht="15" hidden="false" customHeight="true" outlineLevel="0" collapsed="false">
      <c r="A763" s="6" t="s">
        <v>86</v>
      </c>
      <c r="B763" s="6" t="s">
        <v>87</v>
      </c>
      <c r="C763" s="6" t="s">
        <v>88</v>
      </c>
      <c r="D763" s="6" t="s">
        <v>60</v>
      </c>
      <c r="E763" s="6" t="s">
        <v>20</v>
      </c>
      <c r="F763" s="6" t="s">
        <v>40</v>
      </c>
      <c r="G763" s="6" t="s">
        <v>41</v>
      </c>
      <c r="H763" s="6" t="s">
        <v>42</v>
      </c>
      <c r="I763" s="7" t="n">
        <v>3.5</v>
      </c>
      <c r="J763" s="7" t="n">
        <v>6.5</v>
      </c>
      <c r="K763" s="6" t="s">
        <v>29</v>
      </c>
      <c r="L763" s="6" t="n">
        <v>269</v>
      </c>
      <c r="M763" s="7" t="n">
        <f aca="false">L763*J763</f>
        <v>1748.5</v>
      </c>
      <c r="N763" s="7" t="n">
        <f aca="false">L763*I763</f>
        <v>941.5</v>
      </c>
      <c r="O763" s="7" t="n">
        <f aca="false">M763-N763</f>
        <v>807</v>
      </c>
      <c r="P763" s="8" t="n">
        <f aca="false">IFERROR(O763/M763,0)</f>
        <v>0.461538461538462</v>
      </c>
    </row>
    <row r="764" customFormat="false" ht="15" hidden="false" customHeight="true" outlineLevel="0" collapsed="false">
      <c r="A764" s="3" t="s">
        <v>86</v>
      </c>
      <c r="B764" s="3" t="s">
        <v>87</v>
      </c>
      <c r="C764" s="3" t="s">
        <v>88</v>
      </c>
      <c r="D764" s="3" t="s">
        <v>60</v>
      </c>
      <c r="E764" s="3" t="s">
        <v>20</v>
      </c>
      <c r="F764" s="3" t="s">
        <v>43</v>
      </c>
      <c r="G764" s="3" t="s">
        <v>44</v>
      </c>
      <c r="H764" s="3" t="s">
        <v>42</v>
      </c>
      <c r="I764" s="4" t="n">
        <v>2</v>
      </c>
      <c r="J764" s="4" t="n">
        <v>3.8</v>
      </c>
      <c r="K764" s="3" t="s">
        <v>24</v>
      </c>
      <c r="L764" s="3" t="n">
        <v>214</v>
      </c>
      <c r="M764" s="4" t="n">
        <f aca="false">L764*J764</f>
        <v>813.2</v>
      </c>
      <c r="N764" s="4" t="n">
        <f aca="false">L764*I764</f>
        <v>428</v>
      </c>
      <c r="O764" s="4" t="n">
        <f aca="false">M764-N764</f>
        <v>385.2</v>
      </c>
      <c r="P764" s="5" t="n">
        <f aca="false">IFERROR(O764/M764,0)</f>
        <v>0.473684210526316</v>
      </c>
    </row>
    <row r="765" customFormat="false" ht="15" hidden="false" customHeight="true" outlineLevel="0" collapsed="false">
      <c r="A765" s="6" t="s">
        <v>86</v>
      </c>
      <c r="B765" s="6" t="s">
        <v>87</v>
      </c>
      <c r="C765" s="6" t="s">
        <v>88</v>
      </c>
      <c r="D765" s="6" t="s">
        <v>60</v>
      </c>
      <c r="E765" s="6" t="s">
        <v>20</v>
      </c>
      <c r="F765" s="6" t="s">
        <v>43</v>
      </c>
      <c r="G765" s="6" t="s">
        <v>44</v>
      </c>
      <c r="H765" s="6" t="s">
        <v>42</v>
      </c>
      <c r="I765" s="7" t="n">
        <v>2</v>
      </c>
      <c r="J765" s="7" t="n">
        <v>3.8</v>
      </c>
      <c r="K765" s="6" t="s">
        <v>25</v>
      </c>
      <c r="L765" s="6" t="n">
        <v>111</v>
      </c>
      <c r="M765" s="7" t="n">
        <f aca="false">L765*J765</f>
        <v>421.8</v>
      </c>
      <c r="N765" s="7" t="n">
        <f aca="false">L765*I765</f>
        <v>222</v>
      </c>
      <c r="O765" s="7" t="n">
        <f aca="false">M765-N765</f>
        <v>199.8</v>
      </c>
      <c r="P765" s="8" t="n">
        <f aca="false">IFERROR(O765/M765,0)</f>
        <v>0.473684210526316</v>
      </c>
    </row>
    <row r="766" customFormat="false" ht="15" hidden="false" customHeight="true" outlineLevel="0" collapsed="false">
      <c r="A766" s="3" t="s">
        <v>86</v>
      </c>
      <c r="B766" s="3" t="s">
        <v>87</v>
      </c>
      <c r="C766" s="3" t="s">
        <v>88</v>
      </c>
      <c r="D766" s="3" t="s">
        <v>60</v>
      </c>
      <c r="E766" s="3" t="s">
        <v>20</v>
      </c>
      <c r="F766" s="3" t="s">
        <v>43</v>
      </c>
      <c r="G766" s="3" t="s">
        <v>44</v>
      </c>
      <c r="H766" s="3" t="s">
        <v>42</v>
      </c>
      <c r="I766" s="4" t="n">
        <v>2</v>
      </c>
      <c r="J766" s="4" t="n">
        <v>3.8</v>
      </c>
      <c r="K766" s="3" t="s">
        <v>26</v>
      </c>
      <c r="L766" s="3" t="n">
        <v>229</v>
      </c>
      <c r="M766" s="4" t="n">
        <f aca="false">L766*J766</f>
        <v>870.2</v>
      </c>
      <c r="N766" s="4" t="n">
        <f aca="false">L766*I766</f>
        <v>458</v>
      </c>
      <c r="O766" s="4" t="n">
        <f aca="false">M766-N766</f>
        <v>412.2</v>
      </c>
      <c r="P766" s="5" t="n">
        <f aca="false">IFERROR(O766/M766,0)</f>
        <v>0.473684210526316</v>
      </c>
    </row>
    <row r="767" customFormat="false" ht="15" hidden="false" customHeight="true" outlineLevel="0" collapsed="false">
      <c r="A767" s="6" t="s">
        <v>86</v>
      </c>
      <c r="B767" s="6" t="s">
        <v>87</v>
      </c>
      <c r="C767" s="6" t="s">
        <v>88</v>
      </c>
      <c r="D767" s="6" t="s">
        <v>60</v>
      </c>
      <c r="E767" s="6" t="s">
        <v>20</v>
      </c>
      <c r="F767" s="6" t="s">
        <v>43</v>
      </c>
      <c r="G767" s="6" t="s">
        <v>44</v>
      </c>
      <c r="H767" s="6" t="s">
        <v>42</v>
      </c>
      <c r="I767" s="7" t="n">
        <v>2</v>
      </c>
      <c r="J767" s="7" t="n">
        <v>3.8</v>
      </c>
      <c r="K767" s="6" t="s">
        <v>27</v>
      </c>
      <c r="L767" s="6" t="n">
        <v>131</v>
      </c>
      <c r="M767" s="7" t="n">
        <f aca="false">L767*J767</f>
        <v>497.8</v>
      </c>
      <c r="N767" s="7" t="n">
        <f aca="false">L767*I767</f>
        <v>262</v>
      </c>
      <c r="O767" s="7" t="n">
        <f aca="false">M767-N767</f>
        <v>235.8</v>
      </c>
      <c r="P767" s="8" t="n">
        <f aca="false">IFERROR(O767/M767,0)</f>
        <v>0.473684210526316</v>
      </c>
    </row>
    <row r="768" customFormat="false" ht="15" hidden="false" customHeight="true" outlineLevel="0" collapsed="false">
      <c r="A768" s="3" t="s">
        <v>86</v>
      </c>
      <c r="B768" s="3" t="s">
        <v>87</v>
      </c>
      <c r="C768" s="3" t="s">
        <v>88</v>
      </c>
      <c r="D768" s="3" t="s">
        <v>60</v>
      </c>
      <c r="E768" s="3" t="s">
        <v>20</v>
      </c>
      <c r="F768" s="3" t="s">
        <v>43</v>
      </c>
      <c r="G768" s="3" t="s">
        <v>44</v>
      </c>
      <c r="H768" s="3" t="s">
        <v>42</v>
      </c>
      <c r="I768" s="4" t="n">
        <v>2</v>
      </c>
      <c r="J768" s="4" t="n">
        <v>3.8</v>
      </c>
      <c r="K768" s="3" t="s">
        <v>28</v>
      </c>
      <c r="L768" s="3" t="n">
        <v>114</v>
      </c>
      <c r="M768" s="4" t="n">
        <f aca="false">L768*J768</f>
        <v>433.2</v>
      </c>
      <c r="N768" s="4" t="n">
        <f aca="false">L768*I768</f>
        <v>228</v>
      </c>
      <c r="O768" s="4" t="n">
        <f aca="false">M768-N768</f>
        <v>205.2</v>
      </c>
      <c r="P768" s="5" t="n">
        <f aca="false">IFERROR(O768/M768,0)</f>
        <v>0.473684210526316</v>
      </c>
    </row>
    <row r="769" customFormat="false" ht="15" hidden="false" customHeight="true" outlineLevel="0" collapsed="false">
      <c r="A769" s="6" t="s">
        <v>86</v>
      </c>
      <c r="B769" s="6" t="s">
        <v>87</v>
      </c>
      <c r="C769" s="6" t="s">
        <v>88</v>
      </c>
      <c r="D769" s="6" t="s">
        <v>60</v>
      </c>
      <c r="E769" s="6" t="s">
        <v>20</v>
      </c>
      <c r="F769" s="6" t="s">
        <v>43</v>
      </c>
      <c r="G769" s="6" t="s">
        <v>44</v>
      </c>
      <c r="H769" s="6" t="s">
        <v>42</v>
      </c>
      <c r="I769" s="7" t="n">
        <v>2</v>
      </c>
      <c r="J769" s="7" t="n">
        <v>3.8</v>
      </c>
      <c r="K769" s="6" t="s">
        <v>29</v>
      </c>
      <c r="L769" s="6" t="n">
        <v>88</v>
      </c>
      <c r="M769" s="7" t="n">
        <f aca="false">L769*J769</f>
        <v>334.4</v>
      </c>
      <c r="N769" s="7" t="n">
        <f aca="false">L769*I769</f>
        <v>176</v>
      </c>
      <c r="O769" s="7" t="n">
        <f aca="false">M769-N769</f>
        <v>158.4</v>
      </c>
      <c r="P769" s="8" t="n">
        <f aca="false">IFERROR(O769/M769,0)</f>
        <v>0.473684210526316</v>
      </c>
    </row>
    <row r="770" customFormat="false" ht="15" hidden="false" customHeight="true" outlineLevel="0" collapsed="false">
      <c r="A770" s="3" t="s">
        <v>86</v>
      </c>
      <c r="B770" s="3" t="s">
        <v>87</v>
      </c>
      <c r="C770" s="3" t="s">
        <v>88</v>
      </c>
      <c r="D770" s="3" t="s">
        <v>60</v>
      </c>
      <c r="E770" s="3" t="s">
        <v>20</v>
      </c>
      <c r="F770" s="3" t="s">
        <v>45</v>
      </c>
      <c r="G770" s="3" t="s">
        <v>46</v>
      </c>
      <c r="H770" s="3" t="s">
        <v>42</v>
      </c>
      <c r="I770" s="4" t="n">
        <v>5</v>
      </c>
      <c r="J770" s="4" t="n">
        <v>10</v>
      </c>
      <c r="K770" s="3" t="s">
        <v>24</v>
      </c>
      <c r="L770" s="3" t="n">
        <v>87</v>
      </c>
      <c r="M770" s="4" t="n">
        <f aca="false">L770*J770</f>
        <v>870</v>
      </c>
      <c r="N770" s="4" t="n">
        <f aca="false">L770*I770</f>
        <v>435</v>
      </c>
      <c r="O770" s="4" t="n">
        <f aca="false">M770-N770</f>
        <v>435</v>
      </c>
      <c r="P770" s="5" t="n">
        <f aca="false">IFERROR(O770/M770,0)</f>
        <v>0.5</v>
      </c>
    </row>
    <row r="771" customFormat="false" ht="15" hidden="false" customHeight="true" outlineLevel="0" collapsed="false">
      <c r="A771" s="6" t="s">
        <v>86</v>
      </c>
      <c r="B771" s="6" t="s">
        <v>87</v>
      </c>
      <c r="C771" s="6" t="s">
        <v>88</v>
      </c>
      <c r="D771" s="6" t="s">
        <v>60</v>
      </c>
      <c r="E771" s="6" t="s">
        <v>20</v>
      </c>
      <c r="F771" s="6" t="s">
        <v>45</v>
      </c>
      <c r="G771" s="6" t="s">
        <v>46</v>
      </c>
      <c r="H771" s="6" t="s">
        <v>42</v>
      </c>
      <c r="I771" s="7" t="n">
        <v>5</v>
      </c>
      <c r="J771" s="7" t="n">
        <v>10</v>
      </c>
      <c r="K771" s="6" t="s">
        <v>25</v>
      </c>
      <c r="L771" s="6" t="n">
        <v>275</v>
      </c>
      <c r="M771" s="7" t="n">
        <f aca="false">L771*J771</f>
        <v>2750</v>
      </c>
      <c r="N771" s="7" t="n">
        <f aca="false">L771*I771</f>
        <v>1375</v>
      </c>
      <c r="O771" s="7" t="n">
        <f aca="false">M771-N771</f>
        <v>1375</v>
      </c>
      <c r="P771" s="8" t="n">
        <f aca="false">IFERROR(O771/M771,0)</f>
        <v>0.5</v>
      </c>
    </row>
    <row r="772" customFormat="false" ht="15" hidden="false" customHeight="true" outlineLevel="0" collapsed="false">
      <c r="A772" s="3" t="s">
        <v>86</v>
      </c>
      <c r="B772" s="3" t="s">
        <v>87</v>
      </c>
      <c r="C772" s="3" t="s">
        <v>88</v>
      </c>
      <c r="D772" s="3" t="s">
        <v>60</v>
      </c>
      <c r="E772" s="3" t="s">
        <v>20</v>
      </c>
      <c r="F772" s="3" t="s">
        <v>45</v>
      </c>
      <c r="G772" s="3" t="s">
        <v>46</v>
      </c>
      <c r="H772" s="3" t="s">
        <v>42</v>
      </c>
      <c r="I772" s="4" t="n">
        <v>5</v>
      </c>
      <c r="J772" s="4" t="n">
        <v>10</v>
      </c>
      <c r="K772" s="3" t="s">
        <v>26</v>
      </c>
      <c r="L772" s="3" t="n">
        <v>231</v>
      </c>
      <c r="M772" s="4" t="n">
        <f aca="false">L772*J772</f>
        <v>2310</v>
      </c>
      <c r="N772" s="4" t="n">
        <f aca="false">L772*I772</f>
        <v>1155</v>
      </c>
      <c r="O772" s="4" t="n">
        <f aca="false">M772-N772</f>
        <v>1155</v>
      </c>
      <c r="P772" s="5" t="n">
        <f aca="false">IFERROR(O772/M772,0)</f>
        <v>0.5</v>
      </c>
    </row>
    <row r="773" customFormat="false" ht="15" hidden="false" customHeight="true" outlineLevel="0" collapsed="false">
      <c r="A773" s="6" t="s">
        <v>86</v>
      </c>
      <c r="B773" s="6" t="s">
        <v>87</v>
      </c>
      <c r="C773" s="6" t="s">
        <v>88</v>
      </c>
      <c r="D773" s="6" t="s">
        <v>60</v>
      </c>
      <c r="E773" s="6" t="s">
        <v>20</v>
      </c>
      <c r="F773" s="6" t="s">
        <v>45</v>
      </c>
      <c r="G773" s="6" t="s">
        <v>46</v>
      </c>
      <c r="H773" s="6" t="s">
        <v>42</v>
      </c>
      <c r="I773" s="7" t="n">
        <v>5</v>
      </c>
      <c r="J773" s="7" t="n">
        <v>10</v>
      </c>
      <c r="K773" s="6" t="s">
        <v>27</v>
      </c>
      <c r="L773" s="6" t="n">
        <v>110</v>
      </c>
      <c r="M773" s="7" t="n">
        <f aca="false">L773*J773</f>
        <v>1100</v>
      </c>
      <c r="N773" s="7" t="n">
        <f aca="false">L773*I773</f>
        <v>550</v>
      </c>
      <c r="O773" s="7" t="n">
        <f aca="false">M773-N773</f>
        <v>550</v>
      </c>
      <c r="P773" s="8" t="n">
        <f aca="false">IFERROR(O773/M773,0)</f>
        <v>0.5</v>
      </c>
    </row>
    <row r="774" customFormat="false" ht="15" hidden="false" customHeight="true" outlineLevel="0" collapsed="false">
      <c r="A774" s="3" t="s">
        <v>86</v>
      </c>
      <c r="B774" s="3" t="s">
        <v>87</v>
      </c>
      <c r="C774" s="3" t="s">
        <v>88</v>
      </c>
      <c r="D774" s="3" t="s">
        <v>60</v>
      </c>
      <c r="E774" s="3" t="s">
        <v>20</v>
      </c>
      <c r="F774" s="3" t="s">
        <v>45</v>
      </c>
      <c r="G774" s="3" t="s">
        <v>46</v>
      </c>
      <c r="H774" s="3" t="s">
        <v>42</v>
      </c>
      <c r="I774" s="4" t="n">
        <v>5</v>
      </c>
      <c r="J774" s="4" t="n">
        <v>10</v>
      </c>
      <c r="K774" s="3" t="s">
        <v>28</v>
      </c>
      <c r="L774" s="3" t="n">
        <v>260</v>
      </c>
      <c r="M774" s="4" t="n">
        <f aca="false">L774*J774</f>
        <v>2600</v>
      </c>
      <c r="N774" s="4" t="n">
        <f aca="false">L774*I774</f>
        <v>1300</v>
      </c>
      <c r="O774" s="4" t="n">
        <f aca="false">M774-N774</f>
        <v>1300</v>
      </c>
      <c r="P774" s="5" t="n">
        <f aca="false">IFERROR(O774/M774,0)</f>
        <v>0.5</v>
      </c>
    </row>
    <row r="775" customFormat="false" ht="15" hidden="false" customHeight="true" outlineLevel="0" collapsed="false">
      <c r="A775" s="6" t="s">
        <v>86</v>
      </c>
      <c r="B775" s="6" t="s">
        <v>87</v>
      </c>
      <c r="C775" s="6" t="s">
        <v>88</v>
      </c>
      <c r="D775" s="6" t="s">
        <v>60</v>
      </c>
      <c r="E775" s="6" t="s">
        <v>20</v>
      </c>
      <c r="F775" s="6" t="s">
        <v>45</v>
      </c>
      <c r="G775" s="6" t="s">
        <v>46</v>
      </c>
      <c r="H775" s="6" t="s">
        <v>42</v>
      </c>
      <c r="I775" s="7" t="n">
        <v>5</v>
      </c>
      <c r="J775" s="7" t="n">
        <v>10</v>
      </c>
      <c r="K775" s="6" t="s">
        <v>29</v>
      </c>
      <c r="L775" s="6" t="n">
        <v>141</v>
      </c>
      <c r="M775" s="7" t="n">
        <f aca="false">L775*J775</f>
        <v>1410</v>
      </c>
      <c r="N775" s="7" t="n">
        <f aca="false">L775*I775</f>
        <v>705</v>
      </c>
      <c r="O775" s="7" t="n">
        <f aca="false">M775-N775</f>
        <v>705</v>
      </c>
      <c r="P775" s="8" t="n">
        <f aca="false">IFERROR(O775/M775,0)</f>
        <v>0.5</v>
      </c>
    </row>
    <row r="776" customFormat="false" ht="15" hidden="false" customHeight="true" outlineLevel="0" collapsed="false">
      <c r="A776" s="3" t="s">
        <v>86</v>
      </c>
      <c r="B776" s="3" t="s">
        <v>87</v>
      </c>
      <c r="C776" s="3" t="s">
        <v>88</v>
      </c>
      <c r="D776" s="3" t="s">
        <v>60</v>
      </c>
      <c r="E776" s="3" t="s">
        <v>20</v>
      </c>
      <c r="F776" s="3" t="s">
        <v>47</v>
      </c>
      <c r="G776" s="3" t="s">
        <v>48</v>
      </c>
      <c r="H776" s="3" t="s">
        <v>42</v>
      </c>
      <c r="I776" s="4" t="n">
        <v>2.8</v>
      </c>
      <c r="J776" s="4" t="n">
        <v>5.5</v>
      </c>
      <c r="K776" s="3" t="s">
        <v>24</v>
      </c>
      <c r="L776" s="3" t="n">
        <v>118</v>
      </c>
      <c r="M776" s="4" t="n">
        <f aca="false">L776*J776</f>
        <v>649</v>
      </c>
      <c r="N776" s="4" t="n">
        <f aca="false">L776*I776</f>
        <v>330.4</v>
      </c>
      <c r="O776" s="4" t="n">
        <f aca="false">M776-N776</f>
        <v>318.6</v>
      </c>
      <c r="P776" s="5" t="n">
        <f aca="false">IFERROR(O776/M776,0)</f>
        <v>0.490909090909091</v>
      </c>
    </row>
    <row r="777" customFormat="false" ht="15" hidden="false" customHeight="true" outlineLevel="0" collapsed="false">
      <c r="A777" s="6" t="s">
        <v>86</v>
      </c>
      <c r="B777" s="6" t="s">
        <v>87</v>
      </c>
      <c r="C777" s="6" t="s">
        <v>88</v>
      </c>
      <c r="D777" s="6" t="s">
        <v>60</v>
      </c>
      <c r="E777" s="6" t="s">
        <v>20</v>
      </c>
      <c r="F777" s="6" t="s">
        <v>47</v>
      </c>
      <c r="G777" s="6" t="s">
        <v>48</v>
      </c>
      <c r="H777" s="6" t="s">
        <v>42</v>
      </c>
      <c r="I777" s="7" t="n">
        <v>2.8</v>
      </c>
      <c r="J777" s="7" t="n">
        <v>5.5</v>
      </c>
      <c r="K777" s="6" t="s">
        <v>25</v>
      </c>
      <c r="L777" s="6" t="n">
        <v>52</v>
      </c>
      <c r="M777" s="7" t="n">
        <f aca="false">L777*J777</f>
        <v>286</v>
      </c>
      <c r="N777" s="7" t="n">
        <f aca="false">L777*I777</f>
        <v>145.6</v>
      </c>
      <c r="O777" s="7" t="n">
        <f aca="false">M777-N777</f>
        <v>140.4</v>
      </c>
      <c r="P777" s="8" t="n">
        <f aca="false">IFERROR(O777/M777,0)</f>
        <v>0.490909090909091</v>
      </c>
    </row>
    <row r="778" customFormat="false" ht="15" hidden="false" customHeight="true" outlineLevel="0" collapsed="false">
      <c r="A778" s="3" t="s">
        <v>86</v>
      </c>
      <c r="B778" s="3" t="s">
        <v>87</v>
      </c>
      <c r="C778" s="3" t="s">
        <v>88</v>
      </c>
      <c r="D778" s="3" t="s">
        <v>60</v>
      </c>
      <c r="E778" s="3" t="s">
        <v>20</v>
      </c>
      <c r="F778" s="3" t="s">
        <v>47</v>
      </c>
      <c r="G778" s="3" t="s">
        <v>48</v>
      </c>
      <c r="H778" s="3" t="s">
        <v>42</v>
      </c>
      <c r="I778" s="4" t="n">
        <v>2.8</v>
      </c>
      <c r="J778" s="4" t="n">
        <v>5.5</v>
      </c>
      <c r="K778" s="3" t="s">
        <v>26</v>
      </c>
      <c r="L778" s="3" t="n">
        <v>234</v>
      </c>
      <c r="M778" s="4" t="n">
        <f aca="false">L778*J778</f>
        <v>1287</v>
      </c>
      <c r="N778" s="4" t="n">
        <f aca="false">L778*I778</f>
        <v>655.2</v>
      </c>
      <c r="O778" s="4" t="n">
        <f aca="false">M778-N778</f>
        <v>631.8</v>
      </c>
      <c r="P778" s="5" t="n">
        <f aca="false">IFERROR(O778/M778,0)</f>
        <v>0.490909090909091</v>
      </c>
    </row>
    <row r="779" customFormat="false" ht="15" hidden="false" customHeight="true" outlineLevel="0" collapsed="false">
      <c r="A779" s="6" t="s">
        <v>86</v>
      </c>
      <c r="B779" s="6" t="s">
        <v>87</v>
      </c>
      <c r="C779" s="6" t="s">
        <v>88</v>
      </c>
      <c r="D779" s="6" t="s">
        <v>60</v>
      </c>
      <c r="E779" s="6" t="s">
        <v>20</v>
      </c>
      <c r="F779" s="6" t="s">
        <v>47</v>
      </c>
      <c r="G779" s="6" t="s">
        <v>48</v>
      </c>
      <c r="H779" s="6" t="s">
        <v>42</v>
      </c>
      <c r="I779" s="7" t="n">
        <v>2.8</v>
      </c>
      <c r="J779" s="7" t="n">
        <v>5.5</v>
      </c>
      <c r="K779" s="6" t="s">
        <v>27</v>
      </c>
      <c r="L779" s="6" t="n">
        <v>278</v>
      </c>
      <c r="M779" s="7" t="n">
        <f aca="false">L779*J779</f>
        <v>1529</v>
      </c>
      <c r="N779" s="7" t="n">
        <f aca="false">L779*I779</f>
        <v>778.4</v>
      </c>
      <c r="O779" s="7" t="n">
        <f aca="false">M779-N779</f>
        <v>750.6</v>
      </c>
      <c r="P779" s="8" t="n">
        <f aca="false">IFERROR(O779/M779,0)</f>
        <v>0.490909090909091</v>
      </c>
    </row>
    <row r="780" customFormat="false" ht="15" hidden="false" customHeight="true" outlineLevel="0" collapsed="false">
      <c r="A780" s="3" t="s">
        <v>86</v>
      </c>
      <c r="B780" s="3" t="s">
        <v>87</v>
      </c>
      <c r="C780" s="3" t="s">
        <v>88</v>
      </c>
      <c r="D780" s="3" t="s">
        <v>60</v>
      </c>
      <c r="E780" s="3" t="s">
        <v>20</v>
      </c>
      <c r="F780" s="3" t="s">
        <v>47</v>
      </c>
      <c r="G780" s="3" t="s">
        <v>48</v>
      </c>
      <c r="H780" s="3" t="s">
        <v>42</v>
      </c>
      <c r="I780" s="4" t="n">
        <v>2.8</v>
      </c>
      <c r="J780" s="4" t="n">
        <v>5.5</v>
      </c>
      <c r="K780" s="3" t="s">
        <v>28</v>
      </c>
      <c r="L780" s="3" t="n">
        <v>214</v>
      </c>
      <c r="M780" s="4" t="n">
        <f aca="false">L780*J780</f>
        <v>1177</v>
      </c>
      <c r="N780" s="4" t="n">
        <f aca="false">L780*I780</f>
        <v>599.2</v>
      </c>
      <c r="O780" s="4" t="n">
        <f aca="false">M780-N780</f>
        <v>577.8</v>
      </c>
      <c r="P780" s="5" t="n">
        <f aca="false">IFERROR(O780/M780,0)</f>
        <v>0.490909090909091</v>
      </c>
    </row>
    <row r="781" customFormat="false" ht="15" hidden="false" customHeight="true" outlineLevel="0" collapsed="false">
      <c r="A781" s="6" t="s">
        <v>86</v>
      </c>
      <c r="B781" s="6" t="s">
        <v>87</v>
      </c>
      <c r="C781" s="6" t="s">
        <v>88</v>
      </c>
      <c r="D781" s="6" t="s">
        <v>60</v>
      </c>
      <c r="E781" s="6" t="s">
        <v>20</v>
      </c>
      <c r="F781" s="6" t="s">
        <v>47</v>
      </c>
      <c r="G781" s="6" t="s">
        <v>48</v>
      </c>
      <c r="H781" s="6" t="s">
        <v>42</v>
      </c>
      <c r="I781" s="7" t="n">
        <v>2.8</v>
      </c>
      <c r="J781" s="7" t="n">
        <v>5.5</v>
      </c>
      <c r="K781" s="6" t="s">
        <v>29</v>
      </c>
      <c r="L781" s="6" t="n">
        <v>200</v>
      </c>
      <c r="M781" s="7" t="n">
        <f aca="false">L781*J781</f>
        <v>1100</v>
      </c>
      <c r="N781" s="7" t="n">
        <f aca="false">L781*I781</f>
        <v>560</v>
      </c>
      <c r="O781" s="7" t="n">
        <f aca="false">M781-N781</f>
        <v>540</v>
      </c>
      <c r="P781" s="8" t="n">
        <f aca="false">IFERROR(O781/M781,0)</f>
        <v>0.490909090909091</v>
      </c>
    </row>
    <row r="782" customFormat="false" ht="15" hidden="false" customHeight="true" outlineLevel="0" collapsed="false">
      <c r="A782" s="3" t="s">
        <v>89</v>
      </c>
      <c r="B782" s="3" t="s">
        <v>90</v>
      </c>
      <c r="C782" s="3" t="s">
        <v>18</v>
      </c>
      <c r="D782" s="3" t="s">
        <v>91</v>
      </c>
      <c r="E782" s="3" t="s">
        <v>52</v>
      </c>
      <c r="F782" s="3" t="s">
        <v>21</v>
      </c>
      <c r="G782" s="3" t="s">
        <v>22</v>
      </c>
      <c r="H782" s="3" t="s">
        <v>23</v>
      </c>
      <c r="I782" s="4" t="n">
        <v>8.99</v>
      </c>
      <c r="J782" s="4" t="n">
        <v>22</v>
      </c>
      <c r="K782" s="3" t="s">
        <v>24</v>
      </c>
      <c r="L782" s="3" t="n">
        <v>151</v>
      </c>
      <c r="M782" s="4" t="n">
        <f aca="false">L782*J782</f>
        <v>3322</v>
      </c>
      <c r="N782" s="4" t="n">
        <f aca="false">L782*I782</f>
        <v>1357.49</v>
      </c>
      <c r="O782" s="4" t="n">
        <f aca="false">M782-N782</f>
        <v>1964.51</v>
      </c>
      <c r="P782" s="5" t="n">
        <f aca="false">IFERROR(O782/M782,0)</f>
        <v>0.591363636363636</v>
      </c>
    </row>
    <row r="783" customFormat="false" ht="15" hidden="false" customHeight="true" outlineLevel="0" collapsed="false">
      <c r="A783" s="6" t="s">
        <v>89</v>
      </c>
      <c r="B783" s="6" t="s">
        <v>90</v>
      </c>
      <c r="C783" s="6" t="s">
        <v>18</v>
      </c>
      <c r="D783" s="6" t="s">
        <v>91</v>
      </c>
      <c r="E783" s="6" t="s">
        <v>52</v>
      </c>
      <c r="F783" s="6" t="s">
        <v>21</v>
      </c>
      <c r="G783" s="6" t="s">
        <v>22</v>
      </c>
      <c r="H783" s="6" t="s">
        <v>23</v>
      </c>
      <c r="I783" s="7" t="n">
        <v>8.99</v>
      </c>
      <c r="J783" s="7" t="n">
        <v>22</v>
      </c>
      <c r="K783" s="6" t="s">
        <v>25</v>
      </c>
      <c r="L783" s="6" t="n">
        <v>252</v>
      </c>
      <c r="M783" s="7" t="n">
        <f aca="false">L783*J783</f>
        <v>5544</v>
      </c>
      <c r="N783" s="7" t="n">
        <f aca="false">L783*I783</f>
        <v>2265.48</v>
      </c>
      <c r="O783" s="7" t="n">
        <f aca="false">M783-N783</f>
        <v>3278.52</v>
      </c>
      <c r="P783" s="8" t="n">
        <f aca="false">IFERROR(O783/M783,0)</f>
        <v>0.591363636363636</v>
      </c>
    </row>
    <row r="784" customFormat="false" ht="15" hidden="false" customHeight="true" outlineLevel="0" collapsed="false">
      <c r="A784" s="3" t="s">
        <v>89</v>
      </c>
      <c r="B784" s="3" t="s">
        <v>90</v>
      </c>
      <c r="C784" s="3" t="s">
        <v>18</v>
      </c>
      <c r="D784" s="3" t="s">
        <v>91</v>
      </c>
      <c r="E784" s="3" t="s">
        <v>52</v>
      </c>
      <c r="F784" s="3" t="s">
        <v>21</v>
      </c>
      <c r="G784" s="3" t="s">
        <v>22</v>
      </c>
      <c r="H784" s="3" t="s">
        <v>23</v>
      </c>
      <c r="I784" s="4" t="n">
        <v>8.99</v>
      </c>
      <c r="J784" s="4" t="n">
        <v>22</v>
      </c>
      <c r="K784" s="3" t="s">
        <v>26</v>
      </c>
      <c r="L784" s="3" t="n">
        <v>247</v>
      </c>
      <c r="M784" s="4" t="n">
        <f aca="false">L784*J784</f>
        <v>5434</v>
      </c>
      <c r="N784" s="4" t="n">
        <f aca="false">L784*I784</f>
        <v>2220.53</v>
      </c>
      <c r="O784" s="4" t="n">
        <f aca="false">M784-N784</f>
        <v>3213.47</v>
      </c>
      <c r="P784" s="5" t="n">
        <f aca="false">IFERROR(O784/M784,0)</f>
        <v>0.591363636363636</v>
      </c>
    </row>
    <row r="785" customFormat="false" ht="15" hidden="false" customHeight="true" outlineLevel="0" collapsed="false">
      <c r="A785" s="6" t="s">
        <v>89</v>
      </c>
      <c r="B785" s="6" t="s">
        <v>90</v>
      </c>
      <c r="C785" s="6" t="s">
        <v>18</v>
      </c>
      <c r="D785" s="6" t="s">
        <v>91</v>
      </c>
      <c r="E785" s="6" t="s">
        <v>52</v>
      </c>
      <c r="F785" s="6" t="s">
        <v>21</v>
      </c>
      <c r="G785" s="6" t="s">
        <v>22</v>
      </c>
      <c r="H785" s="6" t="s">
        <v>23</v>
      </c>
      <c r="I785" s="7" t="n">
        <v>8.99</v>
      </c>
      <c r="J785" s="7" t="n">
        <v>22</v>
      </c>
      <c r="K785" s="6" t="s">
        <v>27</v>
      </c>
      <c r="L785" s="6" t="n">
        <v>271</v>
      </c>
      <c r="M785" s="7" t="n">
        <f aca="false">L785*J785</f>
        <v>5962</v>
      </c>
      <c r="N785" s="7" t="n">
        <f aca="false">L785*I785</f>
        <v>2436.29</v>
      </c>
      <c r="O785" s="7" t="n">
        <f aca="false">M785-N785</f>
        <v>3525.71</v>
      </c>
      <c r="P785" s="8" t="n">
        <f aca="false">IFERROR(O785/M785,0)</f>
        <v>0.591363636363636</v>
      </c>
    </row>
    <row r="786" customFormat="false" ht="15" hidden="false" customHeight="true" outlineLevel="0" collapsed="false">
      <c r="A786" s="3" t="s">
        <v>89</v>
      </c>
      <c r="B786" s="3" t="s">
        <v>90</v>
      </c>
      <c r="C786" s="3" t="s">
        <v>18</v>
      </c>
      <c r="D786" s="3" t="s">
        <v>91</v>
      </c>
      <c r="E786" s="3" t="s">
        <v>52</v>
      </c>
      <c r="F786" s="3" t="s">
        <v>21</v>
      </c>
      <c r="G786" s="3" t="s">
        <v>22</v>
      </c>
      <c r="H786" s="3" t="s">
        <v>23</v>
      </c>
      <c r="I786" s="4" t="n">
        <v>8.99</v>
      </c>
      <c r="J786" s="4" t="n">
        <v>22</v>
      </c>
      <c r="K786" s="3" t="s">
        <v>28</v>
      </c>
      <c r="L786" s="3" t="n">
        <v>210</v>
      </c>
      <c r="M786" s="4" t="n">
        <f aca="false">L786*J786</f>
        <v>4620</v>
      </c>
      <c r="N786" s="4" t="n">
        <f aca="false">L786*I786</f>
        <v>1887.9</v>
      </c>
      <c r="O786" s="4" t="n">
        <f aca="false">M786-N786</f>
        <v>2732.1</v>
      </c>
      <c r="P786" s="5" t="n">
        <f aca="false">IFERROR(O786/M786,0)</f>
        <v>0.591363636363636</v>
      </c>
    </row>
    <row r="787" customFormat="false" ht="15" hidden="false" customHeight="true" outlineLevel="0" collapsed="false">
      <c r="A787" s="6" t="s">
        <v>89</v>
      </c>
      <c r="B787" s="6" t="s">
        <v>90</v>
      </c>
      <c r="C787" s="6" t="s">
        <v>18</v>
      </c>
      <c r="D787" s="6" t="s">
        <v>91</v>
      </c>
      <c r="E787" s="6" t="s">
        <v>52</v>
      </c>
      <c r="F787" s="6" t="s">
        <v>21</v>
      </c>
      <c r="G787" s="6" t="s">
        <v>22</v>
      </c>
      <c r="H787" s="6" t="s">
        <v>23</v>
      </c>
      <c r="I787" s="7" t="n">
        <v>8.99</v>
      </c>
      <c r="J787" s="7" t="n">
        <v>22</v>
      </c>
      <c r="K787" s="6" t="s">
        <v>29</v>
      </c>
      <c r="L787" s="6" t="n">
        <v>379</v>
      </c>
      <c r="M787" s="7" t="n">
        <f aca="false">L787*J787</f>
        <v>8338</v>
      </c>
      <c r="N787" s="7" t="n">
        <f aca="false">L787*I787</f>
        <v>3407.21</v>
      </c>
      <c r="O787" s="7" t="n">
        <f aca="false">M787-N787</f>
        <v>4930.79</v>
      </c>
      <c r="P787" s="8" t="n">
        <f aca="false">IFERROR(O787/M787,0)</f>
        <v>0.591363636363636</v>
      </c>
    </row>
    <row r="788" customFormat="false" ht="15" hidden="false" customHeight="true" outlineLevel="0" collapsed="false">
      <c r="A788" s="3" t="s">
        <v>89</v>
      </c>
      <c r="B788" s="3" t="s">
        <v>90</v>
      </c>
      <c r="C788" s="3" t="s">
        <v>18</v>
      </c>
      <c r="D788" s="3" t="s">
        <v>91</v>
      </c>
      <c r="E788" s="3" t="s">
        <v>52</v>
      </c>
      <c r="F788" s="3" t="s">
        <v>30</v>
      </c>
      <c r="G788" s="3" t="s">
        <v>31</v>
      </c>
      <c r="H788" s="3" t="s">
        <v>23</v>
      </c>
      <c r="I788" s="4" t="n">
        <v>8.5</v>
      </c>
      <c r="J788" s="4" t="n">
        <v>21</v>
      </c>
      <c r="K788" s="3" t="s">
        <v>24</v>
      </c>
      <c r="L788" s="3" t="n">
        <v>239</v>
      </c>
      <c r="M788" s="4" t="n">
        <f aca="false">L788*J788</f>
        <v>5019</v>
      </c>
      <c r="N788" s="4" t="n">
        <f aca="false">L788*I788</f>
        <v>2031.5</v>
      </c>
      <c r="O788" s="4" t="n">
        <f aca="false">M788-N788</f>
        <v>2987.5</v>
      </c>
      <c r="P788" s="5" t="n">
        <f aca="false">IFERROR(O788/M788,0)</f>
        <v>0.595238095238095</v>
      </c>
    </row>
    <row r="789" customFormat="false" ht="15" hidden="false" customHeight="true" outlineLevel="0" collapsed="false">
      <c r="A789" s="6" t="s">
        <v>89</v>
      </c>
      <c r="B789" s="6" t="s">
        <v>90</v>
      </c>
      <c r="C789" s="6" t="s">
        <v>18</v>
      </c>
      <c r="D789" s="6" t="s">
        <v>91</v>
      </c>
      <c r="E789" s="6" t="s">
        <v>52</v>
      </c>
      <c r="F789" s="6" t="s">
        <v>30</v>
      </c>
      <c r="G789" s="6" t="s">
        <v>31</v>
      </c>
      <c r="H789" s="6" t="s">
        <v>23</v>
      </c>
      <c r="I789" s="7" t="n">
        <v>8.5</v>
      </c>
      <c r="J789" s="7" t="n">
        <v>21</v>
      </c>
      <c r="K789" s="6" t="s">
        <v>25</v>
      </c>
      <c r="L789" s="6" t="n">
        <v>134</v>
      </c>
      <c r="M789" s="7" t="n">
        <f aca="false">L789*J789</f>
        <v>2814</v>
      </c>
      <c r="N789" s="7" t="n">
        <f aca="false">L789*I789</f>
        <v>1139</v>
      </c>
      <c r="O789" s="7" t="n">
        <f aca="false">M789-N789</f>
        <v>1675</v>
      </c>
      <c r="P789" s="8" t="n">
        <f aca="false">IFERROR(O789/M789,0)</f>
        <v>0.595238095238095</v>
      </c>
    </row>
    <row r="790" customFormat="false" ht="15" hidden="false" customHeight="true" outlineLevel="0" collapsed="false">
      <c r="A790" s="3" t="s">
        <v>89</v>
      </c>
      <c r="B790" s="3" t="s">
        <v>90</v>
      </c>
      <c r="C790" s="3" t="s">
        <v>18</v>
      </c>
      <c r="D790" s="3" t="s">
        <v>91</v>
      </c>
      <c r="E790" s="3" t="s">
        <v>52</v>
      </c>
      <c r="F790" s="3" t="s">
        <v>30</v>
      </c>
      <c r="G790" s="3" t="s">
        <v>31</v>
      </c>
      <c r="H790" s="3" t="s">
        <v>23</v>
      </c>
      <c r="I790" s="4" t="n">
        <v>8.5</v>
      </c>
      <c r="J790" s="4" t="n">
        <v>21</v>
      </c>
      <c r="K790" s="3" t="s">
        <v>26</v>
      </c>
      <c r="L790" s="3" t="n">
        <v>108</v>
      </c>
      <c r="M790" s="4" t="n">
        <f aca="false">L790*J790</f>
        <v>2268</v>
      </c>
      <c r="N790" s="4" t="n">
        <f aca="false">L790*I790</f>
        <v>918</v>
      </c>
      <c r="O790" s="4" t="n">
        <f aca="false">M790-N790</f>
        <v>1350</v>
      </c>
      <c r="P790" s="5" t="n">
        <f aca="false">IFERROR(O790/M790,0)</f>
        <v>0.595238095238095</v>
      </c>
    </row>
    <row r="791" customFormat="false" ht="15" hidden="false" customHeight="true" outlineLevel="0" collapsed="false">
      <c r="A791" s="6" t="s">
        <v>89</v>
      </c>
      <c r="B791" s="6" t="s">
        <v>90</v>
      </c>
      <c r="C791" s="6" t="s">
        <v>18</v>
      </c>
      <c r="D791" s="6" t="s">
        <v>91</v>
      </c>
      <c r="E791" s="6" t="s">
        <v>52</v>
      </c>
      <c r="F791" s="6" t="s">
        <v>30</v>
      </c>
      <c r="G791" s="6" t="s">
        <v>31</v>
      </c>
      <c r="H791" s="6" t="s">
        <v>23</v>
      </c>
      <c r="I791" s="7" t="n">
        <v>8.5</v>
      </c>
      <c r="J791" s="7" t="n">
        <v>21</v>
      </c>
      <c r="K791" s="6" t="s">
        <v>27</v>
      </c>
      <c r="L791" s="6" t="n">
        <v>68</v>
      </c>
      <c r="M791" s="7" t="n">
        <f aca="false">L791*J791</f>
        <v>1428</v>
      </c>
      <c r="N791" s="7" t="n">
        <f aca="false">L791*I791</f>
        <v>578</v>
      </c>
      <c r="O791" s="7" t="n">
        <f aca="false">M791-N791</f>
        <v>850</v>
      </c>
      <c r="P791" s="8" t="n">
        <f aca="false">IFERROR(O791/M791,0)</f>
        <v>0.595238095238095</v>
      </c>
    </row>
    <row r="792" customFormat="false" ht="15" hidden="false" customHeight="true" outlineLevel="0" collapsed="false">
      <c r="A792" s="3" t="s">
        <v>89</v>
      </c>
      <c r="B792" s="3" t="s">
        <v>90</v>
      </c>
      <c r="C792" s="3" t="s">
        <v>18</v>
      </c>
      <c r="D792" s="3" t="s">
        <v>91</v>
      </c>
      <c r="E792" s="3" t="s">
        <v>52</v>
      </c>
      <c r="F792" s="3" t="s">
        <v>30</v>
      </c>
      <c r="G792" s="3" t="s">
        <v>31</v>
      </c>
      <c r="H792" s="3" t="s">
        <v>23</v>
      </c>
      <c r="I792" s="4" t="n">
        <v>8.5</v>
      </c>
      <c r="J792" s="4" t="n">
        <v>21</v>
      </c>
      <c r="K792" s="3" t="s">
        <v>28</v>
      </c>
      <c r="L792" s="3" t="n">
        <v>332</v>
      </c>
      <c r="M792" s="4" t="n">
        <f aca="false">L792*J792</f>
        <v>6972</v>
      </c>
      <c r="N792" s="4" t="n">
        <f aca="false">L792*I792</f>
        <v>2822</v>
      </c>
      <c r="O792" s="4" t="n">
        <f aca="false">M792-N792</f>
        <v>4150</v>
      </c>
      <c r="P792" s="5" t="n">
        <f aca="false">IFERROR(O792/M792,0)</f>
        <v>0.595238095238095</v>
      </c>
    </row>
    <row r="793" customFormat="false" ht="15" hidden="false" customHeight="true" outlineLevel="0" collapsed="false">
      <c r="A793" s="6" t="s">
        <v>89</v>
      </c>
      <c r="B793" s="6" t="s">
        <v>90</v>
      </c>
      <c r="C793" s="6" t="s">
        <v>18</v>
      </c>
      <c r="D793" s="6" t="s">
        <v>91</v>
      </c>
      <c r="E793" s="6" t="s">
        <v>52</v>
      </c>
      <c r="F793" s="6" t="s">
        <v>30</v>
      </c>
      <c r="G793" s="6" t="s">
        <v>31</v>
      </c>
      <c r="H793" s="6" t="s">
        <v>23</v>
      </c>
      <c r="I793" s="7" t="n">
        <v>8.5</v>
      </c>
      <c r="J793" s="7" t="n">
        <v>21</v>
      </c>
      <c r="K793" s="6" t="s">
        <v>29</v>
      </c>
      <c r="L793" s="6" t="n">
        <v>112</v>
      </c>
      <c r="M793" s="7" t="n">
        <f aca="false">L793*J793</f>
        <v>2352</v>
      </c>
      <c r="N793" s="7" t="n">
        <f aca="false">L793*I793</f>
        <v>952</v>
      </c>
      <c r="O793" s="7" t="n">
        <f aca="false">M793-N793</f>
        <v>1400</v>
      </c>
      <c r="P793" s="8" t="n">
        <f aca="false">IFERROR(O793/M793,0)</f>
        <v>0.595238095238095</v>
      </c>
    </row>
    <row r="794" customFormat="false" ht="15" hidden="false" customHeight="true" outlineLevel="0" collapsed="false">
      <c r="A794" s="3" t="s">
        <v>89</v>
      </c>
      <c r="B794" s="3" t="s">
        <v>90</v>
      </c>
      <c r="C794" s="3" t="s">
        <v>18</v>
      </c>
      <c r="D794" s="3" t="s">
        <v>91</v>
      </c>
      <c r="E794" s="3" t="s">
        <v>52</v>
      </c>
      <c r="F794" s="3" t="s">
        <v>32</v>
      </c>
      <c r="G794" s="3" t="s">
        <v>33</v>
      </c>
      <c r="H794" s="3" t="s">
        <v>23</v>
      </c>
      <c r="I794" s="4" t="n">
        <v>2.5</v>
      </c>
      <c r="J794" s="4" t="n">
        <v>4.5</v>
      </c>
      <c r="K794" s="3" t="s">
        <v>24</v>
      </c>
      <c r="L794" s="3" t="n">
        <v>92</v>
      </c>
      <c r="M794" s="4" t="n">
        <f aca="false">L794*J794</f>
        <v>414</v>
      </c>
      <c r="N794" s="4" t="n">
        <f aca="false">L794*I794</f>
        <v>230</v>
      </c>
      <c r="O794" s="4" t="n">
        <f aca="false">M794-N794</f>
        <v>184</v>
      </c>
      <c r="P794" s="5" t="n">
        <f aca="false">IFERROR(O794/M794,0)</f>
        <v>0.444444444444444</v>
      </c>
    </row>
    <row r="795" customFormat="false" ht="15" hidden="false" customHeight="true" outlineLevel="0" collapsed="false">
      <c r="A795" s="6" t="s">
        <v>89</v>
      </c>
      <c r="B795" s="6" t="s">
        <v>90</v>
      </c>
      <c r="C795" s="6" t="s">
        <v>18</v>
      </c>
      <c r="D795" s="6" t="s">
        <v>91</v>
      </c>
      <c r="E795" s="6" t="s">
        <v>52</v>
      </c>
      <c r="F795" s="6" t="s">
        <v>32</v>
      </c>
      <c r="G795" s="6" t="s">
        <v>33</v>
      </c>
      <c r="H795" s="6" t="s">
        <v>23</v>
      </c>
      <c r="I795" s="7" t="n">
        <v>2.5</v>
      </c>
      <c r="J795" s="7" t="n">
        <v>4.5</v>
      </c>
      <c r="K795" s="6" t="s">
        <v>25</v>
      </c>
      <c r="L795" s="6" t="n">
        <v>63</v>
      </c>
      <c r="M795" s="7" t="n">
        <f aca="false">L795*J795</f>
        <v>283.5</v>
      </c>
      <c r="N795" s="7" t="n">
        <f aca="false">L795*I795</f>
        <v>157.5</v>
      </c>
      <c r="O795" s="7" t="n">
        <f aca="false">M795-N795</f>
        <v>126</v>
      </c>
      <c r="P795" s="8" t="n">
        <f aca="false">IFERROR(O795/M795,0)</f>
        <v>0.444444444444444</v>
      </c>
    </row>
    <row r="796" customFormat="false" ht="15" hidden="false" customHeight="true" outlineLevel="0" collapsed="false">
      <c r="A796" s="3" t="s">
        <v>89</v>
      </c>
      <c r="B796" s="3" t="s">
        <v>90</v>
      </c>
      <c r="C796" s="3" t="s">
        <v>18</v>
      </c>
      <c r="D796" s="3" t="s">
        <v>91</v>
      </c>
      <c r="E796" s="3" t="s">
        <v>52</v>
      </c>
      <c r="F796" s="3" t="s">
        <v>32</v>
      </c>
      <c r="G796" s="3" t="s">
        <v>33</v>
      </c>
      <c r="H796" s="3" t="s">
        <v>23</v>
      </c>
      <c r="I796" s="4" t="n">
        <v>2.5</v>
      </c>
      <c r="J796" s="4" t="n">
        <v>4.5</v>
      </c>
      <c r="K796" s="3" t="s">
        <v>26</v>
      </c>
      <c r="L796" s="3" t="n">
        <v>189</v>
      </c>
      <c r="M796" s="4" t="n">
        <f aca="false">L796*J796</f>
        <v>850.5</v>
      </c>
      <c r="N796" s="4" t="n">
        <f aca="false">L796*I796</f>
        <v>472.5</v>
      </c>
      <c r="O796" s="4" t="n">
        <f aca="false">M796-N796</f>
        <v>378</v>
      </c>
      <c r="P796" s="5" t="n">
        <f aca="false">IFERROR(O796/M796,0)</f>
        <v>0.444444444444444</v>
      </c>
    </row>
    <row r="797" customFormat="false" ht="15" hidden="false" customHeight="true" outlineLevel="0" collapsed="false">
      <c r="A797" s="6" t="s">
        <v>89</v>
      </c>
      <c r="B797" s="6" t="s">
        <v>90</v>
      </c>
      <c r="C797" s="6" t="s">
        <v>18</v>
      </c>
      <c r="D797" s="6" t="s">
        <v>91</v>
      </c>
      <c r="E797" s="6" t="s">
        <v>52</v>
      </c>
      <c r="F797" s="6" t="s">
        <v>32</v>
      </c>
      <c r="G797" s="6" t="s">
        <v>33</v>
      </c>
      <c r="H797" s="6" t="s">
        <v>23</v>
      </c>
      <c r="I797" s="7" t="n">
        <v>2.5</v>
      </c>
      <c r="J797" s="7" t="n">
        <v>4.5</v>
      </c>
      <c r="K797" s="6" t="s">
        <v>27</v>
      </c>
      <c r="L797" s="6" t="n">
        <v>300</v>
      </c>
      <c r="M797" s="7" t="n">
        <f aca="false">L797*J797</f>
        <v>1350</v>
      </c>
      <c r="N797" s="7" t="n">
        <f aca="false">L797*I797</f>
        <v>750</v>
      </c>
      <c r="O797" s="7" t="n">
        <f aca="false">M797-N797</f>
        <v>600</v>
      </c>
      <c r="P797" s="8" t="n">
        <f aca="false">IFERROR(O797/M797,0)</f>
        <v>0.444444444444444</v>
      </c>
    </row>
    <row r="798" customFormat="false" ht="15" hidden="false" customHeight="true" outlineLevel="0" collapsed="false">
      <c r="A798" s="3" t="s">
        <v>89</v>
      </c>
      <c r="B798" s="3" t="s">
        <v>90</v>
      </c>
      <c r="C798" s="3" t="s">
        <v>18</v>
      </c>
      <c r="D798" s="3" t="s">
        <v>91</v>
      </c>
      <c r="E798" s="3" t="s">
        <v>52</v>
      </c>
      <c r="F798" s="3" t="s">
        <v>32</v>
      </c>
      <c r="G798" s="3" t="s">
        <v>33</v>
      </c>
      <c r="H798" s="3" t="s">
        <v>23</v>
      </c>
      <c r="I798" s="4" t="n">
        <v>2.5</v>
      </c>
      <c r="J798" s="4" t="n">
        <v>4.5</v>
      </c>
      <c r="K798" s="3" t="s">
        <v>28</v>
      </c>
      <c r="L798" s="3" t="n">
        <v>295</v>
      </c>
      <c r="M798" s="4" t="n">
        <f aca="false">L798*J798</f>
        <v>1327.5</v>
      </c>
      <c r="N798" s="4" t="n">
        <f aca="false">L798*I798</f>
        <v>737.5</v>
      </c>
      <c r="O798" s="4" t="n">
        <f aca="false">M798-N798</f>
        <v>590</v>
      </c>
      <c r="P798" s="5" t="n">
        <f aca="false">IFERROR(O798/M798,0)</f>
        <v>0.444444444444444</v>
      </c>
    </row>
    <row r="799" customFormat="false" ht="15" hidden="false" customHeight="true" outlineLevel="0" collapsed="false">
      <c r="A799" s="6" t="s">
        <v>89</v>
      </c>
      <c r="B799" s="6" t="s">
        <v>90</v>
      </c>
      <c r="C799" s="6" t="s">
        <v>18</v>
      </c>
      <c r="D799" s="6" t="s">
        <v>91</v>
      </c>
      <c r="E799" s="6" t="s">
        <v>52</v>
      </c>
      <c r="F799" s="6" t="s">
        <v>32</v>
      </c>
      <c r="G799" s="6" t="s">
        <v>33</v>
      </c>
      <c r="H799" s="6" t="s">
        <v>23</v>
      </c>
      <c r="I799" s="7" t="n">
        <v>2.5</v>
      </c>
      <c r="J799" s="7" t="n">
        <v>4.5</v>
      </c>
      <c r="K799" s="6" t="s">
        <v>29</v>
      </c>
      <c r="L799" s="6" t="n">
        <v>189</v>
      </c>
      <c r="M799" s="7" t="n">
        <f aca="false">L799*J799</f>
        <v>850.5</v>
      </c>
      <c r="N799" s="7" t="n">
        <f aca="false">L799*I799</f>
        <v>472.5</v>
      </c>
      <c r="O799" s="7" t="n">
        <f aca="false">M799-N799</f>
        <v>378</v>
      </c>
      <c r="P799" s="8" t="n">
        <f aca="false">IFERROR(O799/M799,0)</f>
        <v>0.444444444444444</v>
      </c>
    </row>
    <row r="800" customFormat="false" ht="15" hidden="false" customHeight="true" outlineLevel="0" collapsed="false">
      <c r="A800" s="3" t="s">
        <v>89</v>
      </c>
      <c r="B800" s="3" t="s">
        <v>90</v>
      </c>
      <c r="C800" s="3" t="s">
        <v>18</v>
      </c>
      <c r="D800" s="3" t="s">
        <v>91</v>
      </c>
      <c r="E800" s="3" t="s">
        <v>52</v>
      </c>
      <c r="F800" s="3" t="s">
        <v>34</v>
      </c>
      <c r="G800" s="3" t="s">
        <v>35</v>
      </c>
      <c r="H800" s="3" t="s">
        <v>23</v>
      </c>
      <c r="I800" s="4" t="n">
        <v>6</v>
      </c>
      <c r="J800" s="4" t="n">
        <v>12.5</v>
      </c>
      <c r="K800" s="3" t="s">
        <v>24</v>
      </c>
      <c r="L800" s="3" t="n">
        <v>198</v>
      </c>
      <c r="M800" s="4" t="n">
        <f aca="false">L800*J800</f>
        <v>2475</v>
      </c>
      <c r="N800" s="4" t="n">
        <f aca="false">L800*I800</f>
        <v>1188</v>
      </c>
      <c r="O800" s="4" t="n">
        <f aca="false">M800-N800</f>
        <v>1287</v>
      </c>
      <c r="P800" s="5" t="n">
        <f aca="false">IFERROR(O800/M800,0)</f>
        <v>0.52</v>
      </c>
    </row>
    <row r="801" customFormat="false" ht="15" hidden="false" customHeight="true" outlineLevel="0" collapsed="false">
      <c r="A801" s="6" t="s">
        <v>89</v>
      </c>
      <c r="B801" s="6" t="s">
        <v>90</v>
      </c>
      <c r="C801" s="6" t="s">
        <v>18</v>
      </c>
      <c r="D801" s="6" t="s">
        <v>91</v>
      </c>
      <c r="E801" s="6" t="s">
        <v>52</v>
      </c>
      <c r="F801" s="6" t="s">
        <v>34</v>
      </c>
      <c r="G801" s="6" t="s">
        <v>35</v>
      </c>
      <c r="H801" s="6" t="s">
        <v>23</v>
      </c>
      <c r="I801" s="7" t="n">
        <v>6</v>
      </c>
      <c r="J801" s="7" t="n">
        <v>12.5</v>
      </c>
      <c r="K801" s="6" t="s">
        <v>25</v>
      </c>
      <c r="L801" s="6" t="n">
        <v>220</v>
      </c>
      <c r="M801" s="7" t="n">
        <f aca="false">L801*J801</f>
        <v>2750</v>
      </c>
      <c r="N801" s="7" t="n">
        <f aca="false">L801*I801</f>
        <v>1320</v>
      </c>
      <c r="O801" s="7" t="n">
        <f aca="false">M801-N801</f>
        <v>1430</v>
      </c>
      <c r="P801" s="8" t="n">
        <f aca="false">IFERROR(O801/M801,0)</f>
        <v>0.52</v>
      </c>
    </row>
    <row r="802" customFormat="false" ht="15" hidden="false" customHeight="true" outlineLevel="0" collapsed="false">
      <c r="A802" s="3" t="s">
        <v>89</v>
      </c>
      <c r="B802" s="3" t="s">
        <v>90</v>
      </c>
      <c r="C802" s="3" t="s">
        <v>18</v>
      </c>
      <c r="D802" s="3" t="s">
        <v>91</v>
      </c>
      <c r="E802" s="3" t="s">
        <v>52</v>
      </c>
      <c r="F802" s="3" t="s">
        <v>34</v>
      </c>
      <c r="G802" s="3" t="s">
        <v>35</v>
      </c>
      <c r="H802" s="3" t="s">
        <v>23</v>
      </c>
      <c r="I802" s="4" t="n">
        <v>6</v>
      </c>
      <c r="J802" s="4" t="n">
        <v>12.5</v>
      </c>
      <c r="K802" s="3" t="s">
        <v>26</v>
      </c>
      <c r="L802" s="3" t="n">
        <v>261</v>
      </c>
      <c r="M802" s="4" t="n">
        <f aca="false">L802*J802</f>
        <v>3262.5</v>
      </c>
      <c r="N802" s="4" t="n">
        <f aca="false">L802*I802</f>
        <v>1566</v>
      </c>
      <c r="O802" s="4" t="n">
        <f aca="false">M802-N802</f>
        <v>1696.5</v>
      </c>
      <c r="P802" s="5" t="n">
        <f aca="false">IFERROR(O802/M802,0)</f>
        <v>0.52</v>
      </c>
    </row>
    <row r="803" customFormat="false" ht="15" hidden="false" customHeight="true" outlineLevel="0" collapsed="false">
      <c r="A803" s="6" t="s">
        <v>89</v>
      </c>
      <c r="B803" s="6" t="s">
        <v>90</v>
      </c>
      <c r="C803" s="6" t="s">
        <v>18</v>
      </c>
      <c r="D803" s="6" t="s">
        <v>91</v>
      </c>
      <c r="E803" s="6" t="s">
        <v>52</v>
      </c>
      <c r="F803" s="6" t="s">
        <v>34</v>
      </c>
      <c r="G803" s="6" t="s">
        <v>35</v>
      </c>
      <c r="H803" s="6" t="s">
        <v>23</v>
      </c>
      <c r="I803" s="7" t="n">
        <v>6</v>
      </c>
      <c r="J803" s="7" t="n">
        <v>12.5</v>
      </c>
      <c r="K803" s="6" t="s">
        <v>27</v>
      </c>
      <c r="L803" s="6" t="n">
        <v>229</v>
      </c>
      <c r="M803" s="7" t="n">
        <f aca="false">L803*J803</f>
        <v>2862.5</v>
      </c>
      <c r="N803" s="7" t="n">
        <f aca="false">L803*I803</f>
        <v>1374</v>
      </c>
      <c r="O803" s="7" t="n">
        <f aca="false">M803-N803</f>
        <v>1488.5</v>
      </c>
      <c r="P803" s="8" t="n">
        <f aca="false">IFERROR(O803/M803,0)</f>
        <v>0.52</v>
      </c>
    </row>
    <row r="804" customFormat="false" ht="15" hidden="false" customHeight="true" outlineLevel="0" collapsed="false">
      <c r="A804" s="3" t="s">
        <v>89</v>
      </c>
      <c r="B804" s="3" t="s">
        <v>90</v>
      </c>
      <c r="C804" s="3" t="s">
        <v>18</v>
      </c>
      <c r="D804" s="3" t="s">
        <v>91</v>
      </c>
      <c r="E804" s="3" t="s">
        <v>52</v>
      </c>
      <c r="F804" s="3" t="s">
        <v>34</v>
      </c>
      <c r="G804" s="3" t="s">
        <v>35</v>
      </c>
      <c r="H804" s="3" t="s">
        <v>23</v>
      </c>
      <c r="I804" s="4" t="n">
        <v>6</v>
      </c>
      <c r="J804" s="4" t="n">
        <v>12.5</v>
      </c>
      <c r="K804" s="3" t="s">
        <v>28</v>
      </c>
      <c r="L804" s="3" t="n">
        <v>264</v>
      </c>
      <c r="M804" s="4" t="n">
        <f aca="false">L804*J804</f>
        <v>3300</v>
      </c>
      <c r="N804" s="4" t="n">
        <f aca="false">L804*I804</f>
        <v>1584</v>
      </c>
      <c r="O804" s="4" t="n">
        <f aca="false">M804-N804</f>
        <v>1716</v>
      </c>
      <c r="P804" s="5" t="n">
        <f aca="false">IFERROR(O804/M804,0)</f>
        <v>0.52</v>
      </c>
    </row>
    <row r="805" customFormat="false" ht="15" hidden="false" customHeight="true" outlineLevel="0" collapsed="false">
      <c r="A805" s="6" t="s">
        <v>89</v>
      </c>
      <c r="B805" s="6" t="s">
        <v>90</v>
      </c>
      <c r="C805" s="6" t="s">
        <v>18</v>
      </c>
      <c r="D805" s="6" t="s">
        <v>91</v>
      </c>
      <c r="E805" s="6" t="s">
        <v>52</v>
      </c>
      <c r="F805" s="6" t="s">
        <v>34</v>
      </c>
      <c r="G805" s="6" t="s">
        <v>35</v>
      </c>
      <c r="H805" s="6" t="s">
        <v>23</v>
      </c>
      <c r="I805" s="7" t="n">
        <v>6</v>
      </c>
      <c r="J805" s="7" t="n">
        <v>12.5</v>
      </c>
      <c r="K805" s="6" t="s">
        <v>29</v>
      </c>
      <c r="L805" s="6" t="n">
        <v>284</v>
      </c>
      <c r="M805" s="7" t="n">
        <f aca="false">L805*J805</f>
        <v>3550</v>
      </c>
      <c r="N805" s="7" t="n">
        <f aca="false">L805*I805</f>
        <v>1704</v>
      </c>
      <c r="O805" s="7" t="n">
        <f aca="false">M805-N805</f>
        <v>1846</v>
      </c>
      <c r="P805" s="8" t="n">
        <f aca="false">IFERROR(O805/M805,0)</f>
        <v>0.52</v>
      </c>
    </row>
    <row r="806" customFormat="false" ht="15" hidden="false" customHeight="true" outlineLevel="0" collapsed="false">
      <c r="A806" s="3" t="s">
        <v>89</v>
      </c>
      <c r="B806" s="3" t="s">
        <v>90</v>
      </c>
      <c r="C806" s="3" t="s">
        <v>18</v>
      </c>
      <c r="D806" s="3" t="s">
        <v>91</v>
      </c>
      <c r="E806" s="3" t="s">
        <v>52</v>
      </c>
      <c r="F806" s="3" t="s">
        <v>36</v>
      </c>
      <c r="G806" s="3" t="s">
        <v>37</v>
      </c>
      <c r="H806" s="3" t="s">
        <v>23</v>
      </c>
      <c r="I806" s="4" t="n">
        <v>4.5</v>
      </c>
      <c r="J806" s="4" t="n">
        <v>7</v>
      </c>
      <c r="K806" s="3" t="s">
        <v>24</v>
      </c>
      <c r="L806" s="3" t="n">
        <v>44</v>
      </c>
      <c r="M806" s="4" t="n">
        <f aca="false">L806*J806</f>
        <v>308</v>
      </c>
      <c r="N806" s="4" t="n">
        <f aca="false">L806*I806</f>
        <v>198</v>
      </c>
      <c r="O806" s="4" t="n">
        <f aca="false">M806-N806</f>
        <v>110</v>
      </c>
      <c r="P806" s="5" t="n">
        <f aca="false">IFERROR(O806/M806,0)</f>
        <v>0.357142857142857</v>
      </c>
    </row>
    <row r="807" customFormat="false" ht="15" hidden="false" customHeight="true" outlineLevel="0" collapsed="false">
      <c r="A807" s="6" t="s">
        <v>89</v>
      </c>
      <c r="B807" s="6" t="s">
        <v>90</v>
      </c>
      <c r="C807" s="6" t="s">
        <v>18</v>
      </c>
      <c r="D807" s="6" t="s">
        <v>91</v>
      </c>
      <c r="E807" s="6" t="s">
        <v>52</v>
      </c>
      <c r="F807" s="6" t="s">
        <v>36</v>
      </c>
      <c r="G807" s="6" t="s">
        <v>37</v>
      </c>
      <c r="H807" s="6" t="s">
        <v>23</v>
      </c>
      <c r="I807" s="7" t="n">
        <v>4.5</v>
      </c>
      <c r="J807" s="7" t="n">
        <v>7</v>
      </c>
      <c r="K807" s="6" t="s">
        <v>25</v>
      </c>
      <c r="L807" s="6" t="n">
        <v>86</v>
      </c>
      <c r="M807" s="7" t="n">
        <f aca="false">L807*J807</f>
        <v>602</v>
      </c>
      <c r="N807" s="7" t="n">
        <f aca="false">L807*I807</f>
        <v>387</v>
      </c>
      <c r="O807" s="7" t="n">
        <f aca="false">M807-N807</f>
        <v>215</v>
      </c>
      <c r="P807" s="8" t="n">
        <f aca="false">IFERROR(O807/M807,0)</f>
        <v>0.357142857142857</v>
      </c>
    </row>
    <row r="808" customFormat="false" ht="15" hidden="false" customHeight="true" outlineLevel="0" collapsed="false">
      <c r="A808" s="3" t="s">
        <v>89</v>
      </c>
      <c r="B808" s="3" t="s">
        <v>90</v>
      </c>
      <c r="C808" s="3" t="s">
        <v>18</v>
      </c>
      <c r="D808" s="3" t="s">
        <v>91</v>
      </c>
      <c r="E808" s="3" t="s">
        <v>52</v>
      </c>
      <c r="F808" s="3" t="s">
        <v>36</v>
      </c>
      <c r="G808" s="3" t="s">
        <v>37</v>
      </c>
      <c r="H808" s="3" t="s">
        <v>23</v>
      </c>
      <c r="I808" s="4" t="n">
        <v>4.5</v>
      </c>
      <c r="J808" s="4" t="n">
        <v>7</v>
      </c>
      <c r="K808" s="3" t="s">
        <v>26</v>
      </c>
      <c r="L808" s="3" t="n">
        <v>215</v>
      </c>
      <c r="M808" s="4" t="n">
        <f aca="false">L808*J808</f>
        <v>1505</v>
      </c>
      <c r="N808" s="4" t="n">
        <f aca="false">L808*I808</f>
        <v>967.5</v>
      </c>
      <c r="O808" s="4" t="n">
        <f aca="false">M808-N808</f>
        <v>537.5</v>
      </c>
      <c r="P808" s="5" t="n">
        <f aca="false">IFERROR(O808/M808,0)</f>
        <v>0.357142857142857</v>
      </c>
    </row>
    <row r="809" customFormat="false" ht="15" hidden="false" customHeight="true" outlineLevel="0" collapsed="false">
      <c r="A809" s="6" t="s">
        <v>89</v>
      </c>
      <c r="B809" s="6" t="s">
        <v>90</v>
      </c>
      <c r="C809" s="6" t="s">
        <v>18</v>
      </c>
      <c r="D809" s="6" t="s">
        <v>91</v>
      </c>
      <c r="E809" s="6" t="s">
        <v>52</v>
      </c>
      <c r="F809" s="6" t="s">
        <v>36</v>
      </c>
      <c r="G809" s="6" t="s">
        <v>37</v>
      </c>
      <c r="H809" s="6" t="s">
        <v>23</v>
      </c>
      <c r="I809" s="7" t="n">
        <v>4.5</v>
      </c>
      <c r="J809" s="7" t="n">
        <v>7</v>
      </c>
      <c r="K809" s="6" t="s">
        <v>27</v>
      </c>
      <c r="L809" s="6" t="n">
        <v>96</v>
      </c>
      <c r="M809" s="7" t="n">
        <f aca="false">L809*J809</f>
        <v>672</v>
      </c>
      <c r="N809" s="7" t="n">
        <f aca="false">L809*I809</f>
        <v>432</v>
      </c>
      <c r="O809" s="7" t="n">
        <f aca="false">M809-N809</f>
        <v>240</v>
      </c>
      <c r="P809" s="8" t="n">
        <f aca="false">IFERROR(O809/M809,0)</f>
        <v>0.357142857142857</v>
      </c>
    </row>
    <row r="810" customFormat="false" ht="15" hidden="false" customHeight="true" outlineLevel="0" collapsed="false">
      <c r="A810" s="3" t="s">
        <v>89</v>
      </c>
      <c r="B810" s="3" t="s">
        <v>90</v>
      </c>
      <c r="C810" s="3" t="s">
        <v>18</v>
      </c>
      <c r="D810" s="3" t="s">
        <v>91</v>
      </c>
      <c r="E810" s="3" t="s">
        <v>52</v>
      </c>
      <c r="F810" s="3" t="s">
        <v>36</v>
      </c>
      <c r="G810" s="3" t="s">
        <v>37</v>
      </c>
      <c r="H810" s="3" t="s">
        <v>23</v>
      </c>
      <c r="I810" s="4" t="n">
        <v>4.5</v>
      </c>
      <c r="J810" s="4" t="n">
        <v>7</v>
      </c>
      <c r="K810" s="3" t="s">
        <v>28</v>
      </c>
      <c r="L810" s="3" t="n">
        <v>216</v>
      </c>
      <c r="M810" s="4" t="n">
        <f aca="false">L810*J810</f>
        <v>1512</v>
      </c>
      <c r="N810" s="4" t="n">
        <f aca="false">L810*I810</f>
        <v>972</v>
      </c>
      <c r="O810" s="4" t="n">
        <f aca="false">M810-N810</f>
        <v>540</v>
      </c>
      <c r="P810" s="5" t="n">
        <f aca="false">IFERROR(O810/M810,0)</f>
        <v>0.357142857142857</v>
      </c>
    </row>
    <row r="811" customFormat="false" ht="15" hidden="false" customHeight="true" outlineLevel="0" collapsed="false">
      <c r="A811" s="6" t="s">
        <v>89</v>
      </c>
      <c r="B811" s="6" t="s">
        <v>90</v>
      </c>
      <c r="C811" s="6" t="s">
        <v>18</v>
      </c>
      <c r="D811" s="6" t="s">
        <v>91</v>
      </c>
      <c r="E811" s="6" t="s">
        <v>52</v>
      </c>
      <c r="F811" s="6" t="s">
        <v>36</v>
      </c>
      <c r="G811" s="6" t="s">
        <v>37</v>
      </c>
      <c r="H811" s="6" t="s">
        <v>23</v>
      </c>
      <c r="I811" s="7" t="n">
        <v>4.5</v>
      </c>
      <c r="J811" s="7" t="n">
        <v>7</v>
      </c>
      <c r="K811" s="6" t="s">
        <v>29</v>
      </c>
      <c r="L811" s="6" t="n">
        <v>136</v>
      </c>
      <c r="M811" s="7" t="n">
        <f aca="false">L811*J811</f>
        <v>952</v>
      </c>
      <c r="N811" s="7" t="n">
        <f aca="false">L811*I811</f>
        <v>612</v>
      </c>
      <c r="O811" s="7" t="n">
        <f aca="false">M811-N811</f>
        <v>340</v>
      </c>
      <c r="P811" s="8" t="n">
        <f aca="false">IFERROR(O811/M811,0)</f>
        <v>0.357142857142857</v>
      </c>
    </row>
    <row r="812" customFormat="false" ht="15" hidden="false" customHeight="true" outlineLevel="0" collapsed="false">
      <c r="A812" s="3" t="s">
        <v>89</v>
      </c>
      <c r="B812" s="3" t="s">
        <v>90</v>
      </c>
      <c r="C812" s="3" t="s">
        <v>18</v>
      </c>
      <c r="D812" s="3" t="s">
        <v>91</v>
      </c>
      <c r="E812" s="3" t="s">
        <v>52</v>
      </c>
      <c r="F812" s="3" t="s">
        <v>38</v>
      </c>
      <c r="G812" s="3" t="s">
        <v>39</v>
      </c>
      <c r="H812" s="3" t="s">
        <v>23</v>
      </c>
      <c r="I812" s="4" t="n">
        <v>9.9</v>
      </c>
      <c r="J812" s="4" t="n">
        <v>18</v>
      </c>
      <c r="K812" s="3" t="s">
        <v>24</v>
      </c>
      <c r="L812" s="3" t="n">
        <v>268</v>
      </c>
      <c r="M812" s="4" t="n">
        <f aca="false">L812*J812</f>
        <v>4824</v>
      </c>
      <c r="N812" s="4" t="n">
        <f aca="false">L812*I812</f>
        <v>2653.2</v>
      </c>
      <c r="O812" s="4" t="n">
        <f aca="false">M812-N812</f>
        <v>2170.8</v>
      </c>
      <c r="P812" s="5" t="n">
        <f aca="false">IFERROR(O812/M812,0)</f>
        <v>0.45</v>
      </c>
    </row>
    <row r="813" customFormat="false" ht="15" hidden="false" customHeight="true" outlineLevel="0" collapsed="false">
      <c r="A813" s="6" t="s">
        <v>89</v>
      </c>
      <c r="B813" s="6" t="s">
        <v>90</v>
      </c>
      <c r="C813" s="6" t="s">
        <v>18</v>
      </c>
      <c r="D813" s="6" t="s">
        <v>91</v>
      </c>
      <c r="E813" s="6" t="s">
        <v>52</v>
      </c>
      <c r="F813" s="6" t="s">
        <v>38</v>
      </c>
      <c r="G813" s="6" t="s">
        <v>39</v>
      </c>
      <c r="H813" s="6" t="s">
        <v>23</v>
      </c>
      <c r="I813" s="7" t="n">
        <v>9.9</v>
      </c>
      <c r="J813" s="7" t="n">
        <v>18</v>
      </c>
      <c r="K813" s="6" t="s">
        <v>25</v>
      </c>
      <c r="L813" s="6" t="n">
        <v>22</v>
      </c>
      <c r="M813" s="7" t="n">
        <f aca="false">L813*J813</f>
        <v>396</v>
      </c>
      <c r="N813" s="7" t="n">
        <f aca="false">L813*I813</f>
        <v>217.8</v>
      </c>
      <c r="O813" s="7" t="n">
        <f aca="false">M813-N813</f>
        <v>178.2</v>
      </c>
      <c r="P813" s="8" t="n">
        <f aca="false">IFERROR(O813/M813,0)</f>
        <v>0.45</v>
      </c>
    </row>
    <row r="814" customFormat="false" ht="15" hidden="false" customHeight="true" outlineLevel="0" collapsed="false">
      <c r="A814" s="3" t="s">
        <v>89</v>
      </c>
      <c r="B814" s="3" t="s">
        <v>90</v>
      </c>
      <c r="C814" s="3" t="s">
        <v>18</v>
      </c>
      <c r="D814" s="3" t="s">
        <v>91</v>
      </c>
      <c r="E814" s="3" t="s">
        <v>52</v>
      </c>
      <c r="F814" s="3" t="s">
        <v>38</v>
      </c>
      <c r="G814" s="3" t="s">
        <v>39</v>
      </c>
      <c r="H814" s="3" t="s">
        <v>23</v>
      </c>
      <c r="I814" s="4" t="n">
        <v>9.9</v>
      </c>
      <c r="J814" s="4" t="n">
        <v>18</v>
      </c>
      <c r="K814" s="3" t="s">
        <v>26</v>
      </c>
      <c r="L814" s="3" t="n">
        <v>40</v>
      </c>
      <c r="M814" s="4" t="n">
        <f aca="false">L814*J814</f>
        <v>720</v>
      </c>
      <c r="N814" s="4" t="n">
        <f aca="false">L814*I814</f>
        <v>396</v>
      </c>
      <c r="O814" s="4" t="n">
        <f aca="false">M814-N814</f>
        <v>324</v>
      </c>
      <c r="P814" s="5" t="n">
        <f aca="false">IFERROR(O814/M814,0)</f>
        <v>0.45</v>
      </c>
    </row>
    <row r="815" customFormat="false" ht="15" hidden="false" customHeight="true" outlineLevel="0" collapsed="false">
      <c r="A815" s="6" t="s">
        <v>89</v>
      </c>
      <c r="B815" s="6" t="s">
        <v>90</v>
      </c>
      <c r="C815" s="6" t="s">
        <v>18</v>
      </c>
      <c r="D815" s="6" t="s">
        <v>91</v>
      </c>
      <c r="E815" s="6" t="s">
        <v>52</v>
      </c>
      <c r="F815" s="6" t="s">
        <v>38</v>
      </c>
      <c r="G815" s="6" t="s">
        <v>39</v>
      </c>
      <c r="H815" s="6" t="s">
        <v>23</v>
      </c>
      <c r="I815" s="7" t="n">
        <v>9.9</v>
      </c>
      <c r="J815" s="7" t="n">
        <v>18</v>
      </c>
      <c r="K815" s="6" t="s">
        <v>27</v>
      </c>
      <c r="L815" s="6" t="n">
        <v>141</v>
      </c>
      <c r="M815" s="7" t="n">
        <f aca="false">L815*J815</f>
        <v>2538</v>
      </c>
      <c r="N815" s="7" t="n">
        <f aca="false">L815*I815</f>
        <v>1395.9</v>
      </c>
      <c r="O815" s="7" t="n">
        <f aca="false">M815-N815</f>
        <v>1142.1</v>
      </c>
      <c r="P815" s="8" t="n">
        <f aca="false">IFERROR(O815/M815,0)</f>
        <v>0.45</v>
      </c>
    </row>
    <row r="816" customFormat="false" ht="15" hidden="false" customHeight="true" outlineLevel="0" collapsed="false">
      <c r="A816" s="3" t="s">
        <v>89</v>
      </c>
      <c r="B816" s="3" t="s">
        <v>90</v>
      </c>
      <c r="C816" s="3" t="s">
        <v>18</v>
      </c>
      <c r="D816" s="3" t="s">
        <v>91</v>
      </c>
      <c r="E816" s="3" t="s">
        <v>52</v>
      </c>
      <c r="F816" s="3" t="s">
        <v>38</v>
      </c>
      <c r="G816" s="3" t="s">
        <v>39</v>
      </c>
      <c r="H816" s="3" t="s">
        <v>23</v>
      </c>
      <c r="I816" s="4" t="n">
        <v>9.9</v>
      </c>
      <c r="J816" s="4" t="n">
        <v>18</v>
      </c>
      <c r="K816" s="3" t="s">
        <v>28</v>
      </c>
      <c r="L816" s="3" t="n">
        <v>363</v>
      </c>
      <c r="M816" s="4" t="n">
        <f aca="false">L816*J816</f>
        <v>6534</v>
      </c>
      <c r="N816" s="4" t="n">
        <f aca="false">L816*I816</f>
        <v>3593.7</v>
      </c>
      <c r="O816" s="4" t="n">
        <f aca="false">M816-N816</f>
        <v>2940.3</v>
      </c>
      <c r="P816" s="5" t="n">
        <f aca="false">IFERROR(O816/M816,0)</f>
        <v>0.45</v>
      </c>
    </row>
    <row r="817" customFormat="false" ht="15" hidden="false" customHeight="true" outlineLevel="0" collapsed="false">
      <c r="A817" s="6" t="s">
        <v>89</v>
      </c>
      <c r="B817" s="6" t="s">
        <v>90</v>
      </c>
      <c r="C817" s="6" t="s">
        <v>18</v>
      </c>
      <c r="D817" s="6" t="s">
        <v>91</v>
      </c>
      <c r="E817" s="6" t="s">
        <v>52</v>
      </c>
      <c r="F817" s="6" t="s">
        <v>38</v>
      </c>
      <c r="G817" s="6" t="s">
        <v>39</v>
      </c>
      <c r="H817" s="6" t="s">
        <v>23</v>
      </c>
      <c r="I817" s="7" t="n">
        <v>9.9</v>
      </c>
      <c r="J817" s="7" t="n">
        <v>18</v>
      </c>
      <c r="K817" s="6" t="s">
        <v>29</v>
      </c>
      <c r="L817" s="6" t="n">
        <v>110</v>
      </c>
      <c r="M817" s="7" t="n">
        <f aca="false">L817*J817</f>
        <v>1980</v>
      </c>
      <c r="N817" s="7" t="n">
        <f aca="false">L817*I817</f>
        <v>1089</v>
      </c>
      <c r="O817" s="7" t="n">
        <f aca="false">M817-N817</f>
        <v>891</v>
      </c>
      <c r="P817" s="8" t="n">
        <f aca="false">IFERROR(O817/M817,0)</f>
        <v>0.45</v>
      </c>
    </row>
    <row r="818" customFormat="false" ht="15" hidden="false" customHeight="true" outlineLevel="0" collapsed="false">
      <c r="A818" s="3" t="s">
        <v>89</v>
      </c>
      <c r="B818" s="3" t="s">
        <v>90</v>
      </c>
      <c r="C818" s="3" t="s">
        <v>18</v>
      </c>
      <c r="D818" s="3" t="s">
        <v>91</v>
      </c>
      <c r="E818" s="3" t="s">
        <v>52</v>
      </c>
      <c r="F818" s="3" t="s">
        <v>40</v>
      </c>
      <c r="G818" s="3" t="s">
        <v>41</v>
      </c>
      <c r="H818" s="3" t="s">
        <v>42</v>
      </c>
      <c r="I818" s="4" t="n">
        <v>3.5</v>
      </c>
      <c r="J818" s="4" t="n">
        <v>6.5</v>
      </c>
      <c r="K818" s="3" t="s">
        <v>24</v>
      </c>
      <c r="L818" s="3" t="n">
        <v>150</v>
      </c>
      <c r="M818" s="4" t="n">
        <f aca="false">L818*J818</f>
        <v>975</v>
      </c>
      <c r="N818" s="4" t="n">
        <f aca="false">L818*I818</f>
        <v>525</v>
      </c>
      <c r="O818" s="4" t="n">
        <f aca="false">M818-N818</f>
        <v>450</v>
      </c>
      <c r="P818" s="5" t="n">
        <f aca="false">IFERROR(O818/M818,0)</f>
        <v>0.461538461538462</v>
      </c>
    </row>
    <row r="819" customFormat="false" ht="15" hidden="false" customHeight="true" outlineLevel="0" collapsed="false">
      <c r="A819" s="6" t="s">
        <v>89</v>
      </c>
      <c r="B819" s="6" t="s">
        <v>90</v>
      </c>
      <c r="C819" s="6" t="s">
        <v>18</v>
      </c>
      <c r="D819" s="6" t="s">
        <v>91</v>
      </c>
      <c r="E819" s="6" t="s">
        <v>52</v>
      </c>
      <c r="F819" s="6" t="s">
        <v>40</v>
      </c>
      <c r="G819" s="6" t="s">
        <v>41</v>
      </c>
      <c r="H819" s="6" t="s">
        <v>42</v>
      </c>
      <c r="I819" s="7" t="n">
        <v>3.5</v>
      </c>
      <c r="J819" s="7" t="n">
        <v>6.5</v>
      </c>
      <c r="K819" s="6" t="s">
        <v>25</v>
      </c>
      <c r="L819" s="6" t="n">
        <v>78</v>
      </c>
      <c r="M819" s="7" t="n">
        <f aca="false">L819*J819</f>
        <v>507</v>
      </c>
      <c r="N819" s="7" t="n">
        <f aca="false">L819*I819</f>
        <v>273</v>
      </c>
      <c r="O819" s="7" t="n">
        <f aca="false">M819-N819</f>
        <v>234</v>
      </c>
      <c r="P819" s="8" t="n">
        <f aca="false">IFERROR(O819/M819,0)</f>
        <v>0.461538461538462</v>
      </c>
    </row>
    <row r="820" customFormat="false" ht="15" hidden="false" customHeight="true" outlineLevel="0" collapsed="false">
      <c r="A820" s="3" t="s">
        <v>89</v>
      </c>
      <c r="B820" s="3" t="s">
        <v>90</v>
      </c>
      <c r="C820" s="3" t="s">
        <v>18</v>
      </c>
      <c r="D820" s="3" t="s">
        <v>91</v>
      </c>
      <c r="E820" s="3" t="s">
        <v>52</v>
      </c>
      <c r="F820" s="3" t="s">
        <v>40</v>
      </c>
      <c r="G820" s="3" t="s">
        <v>41</v>
      </c>
      <c r="H820" s="3" t="s">
        <v>42</v>
      </c>
      <c r="I820" s="4" t="n">
        <v>3.5</v>
      </c>
      <c r="J820" s="4" t="n">
        <v>6.5</v>
      </c>
      <c r="K820" s="3" t="s">
        <v>26</v>
      </c>
      <c r="L820" s="3" t="n">
        <v>170</v>
      </c>
      <c r="M820" s="4" t="n">
        <f aca="false">L820*J820</f>
        <v>1105</v>
      </c>
      <c r="N820" s="4" t="n">
        <f aca="false">L820*I820</f>
        <v>595</v>
      </c>
      <c r="O820" s="4" t="n">
        <f aca="false">M820-N820</f>
        <v>510</v>
      </c>
      <c r="P820" s="5" t="n">
        <f aca="false">IFERROR(O820/M820,0)</f>
        <v>0.461538461538462</v>
      </c>
    </row>
    <row r="821" customFormat="false" ht="15" hidden="false" customHeight="true" outlineLevel="0" collapsed="false">
      <c r="A821" s="6" t="s">
        <v>89</v>
      </c>
      <c r="B821" s="6" t="s">
        <v>90</v>
      </c>
      <c r="C821" s="6" t="s">
        <v>18</v>
      </c>
      <c r="D821" s="6" t="s">
        <v>91</v>
      </c>
      <c r="E821" s="6" t="s">
        <v>52</v>
      </c>
      <c r="F821" s="6" t="s">
        <v>40</v>
      </c>
      <c r="G821" s="6" t="s">
        <v>41</v>
      </c>
      <c r="H821" s="6" t="s">
        <v>42</v>
      </c>
      <c r="I821" s="7" t="n">
        <v>3.5</v>
      </c>
      <c r="J821" s="7" t="n">
        <v>6.5</v>
      </c>
      <c r="K821" s="6" t="s">
        <v>27</v>
      </c>
      <c r="L821" s="6" t="n">
        <v>269</v>
      </c>
      <c r="M821" s="7" t="n">
        <f aca="false">L821*J821</f>
        <v>1748.5</v>
      </c>
      <c r="N821" s="7" t="n">
        <f aca="false">L821*I821</f>
        <v>941.5</v>
      </c>
      <c r="O821" s="7" t="n">
        <f aca="false">M821-N821</f>
        <v>807</v>
      </c>
      <c r="P821" s="8" t="n">
        <f aca="false">IFERROR(O821/M821,0)</f>
        <v>0.461538461538462</v>
      </c>
    </row>
    <row r="822" customFormat="false" ht="15" hidden="false" customHeight="true" outlineLevel="0" collapsed="false">
      <c r="A822" s="3" t="s">
        <v>89</v>
      </c>
      <c r="B822" s="3" t="s">
        <v>90</v>
      </c>
      <c r="C822" s="3" t="s">
        <v>18</v>
      </c>
      <c r="D822" s="3" t="s">
        <v>91</v>
      </c>
      <c r="E822" s="3" t="s">
        <v>52</v>
      </c>
      <c r="F822" s="3" t="s">
        <v>40</v>
      </c>
      <c r="G822" s="3" t="s">
        <v>41</v>
      </c>
      <c r="H822" s="3" t="s">
        <v>42</v>
      </c>
      <c r="I822" s="4" t="n">
        <v>3.5</v>
      </c>
      <c r="J822" s="4" t="n">
        <v>6.5</v>
      </c>
      <c r="K822" s="3" t="s">
        <v>28</v>
      </c>
      <c r="L822" s="3" t="n">
        <v>108</v>
      </c>
      <c r="M822" s="4" t="n">
        <f aca="false">L822*J822</f>
        <v>702</v>
      </c>
      <c r="N822" s="4" t="n">
        <f aca="false">L822*I822</f>
        <v>378</v>
      </c>
      <c r="O822" s="4" t="n">
        <f aca="false">M822-N822</f>
        <v>324</v>
      </c>
      <c r="P822" s="5" t="n">
        <f aca="false">IFERROR(O822/M822,0)</f>
        <v>0.461538461538462</v>
      </c>
    </row>
    <row r="823" customFormat="false" ht="15" hidden="false" customHeight="true" outlineLevel="0" collapsed="false">
      <c r="A823" s="6" t="s">
        <v>89</v>
      </c>
      <c r="B823" s="6" t="s">
        <v>90</v>
      </c>
      <c r="C823" s="6" t="s">
        <v>18</v>
      </c>
      <c r="D823" s="6" t="s">
        <v>91</v>
      </c>
      <c r="E823" s="6" t="s">
        <v>52</v>
      </c>
      <c r="F823" s="6" t="s">
        <v>40</v>
      </c>
      <c r="G823" s="6" t="s">
        <v>41</v>
      </c>
      <c r="H823" s="6" t="s">
        <v>42</v>
      </c>
      <c r="I823" s="7" t="n">
        <v>3.5</v>
      </c>
      <c r="J823" s="7" t="n">
        <v>6.5</v>
      </c>
      <c r="K823" s="6" t="s">
        <v>29</v>
      </c>
      <c r="L823" s="6" t="n">
        <v>59</v>
      </c>
      <c r="M823" s="7" t="n">
        <f aca="false">L823*J823</f>
        <v>383.5</v>
      </c>
      <c r="N823" s="7" t="n">
        <f aca="false">L823*I823</f>
        <v>206.5</v>
      </c>
      <c r="O823" s="7" t="n">
        <f aca="false">M823-N823</f>
        <v>177</v>
      </c>
      <c r="P823" s="8" t="n">
        <f aca="false">IFERROR(O823/M823,0)</f>
        <v>0.461538461538462</v>
      </c>
    </row>
    <row r="824" customFormat="false" ht="15" hidden="false" customHeight="true" outlineLevel="0" collapsed="false">
      <c r="A824" s="3" t="s">
        <v>89</v>
      </c>
      <c r="B824" s="3" t="s">
        <v>90</v>
      </c>
      <c r="C824" s="3" t="s">
        <v>18</v>
      </c>
      <c r="D824" s="3" t="s">
        <v>91</v>
      </c>
      <c r="E824" s="3" t="s">
        <v>52</v>
      </c>
      <c r="F824" s="3" t="s">
        <v>43</v>
      </c>
      <c r="G824" s="3" t="s">
        <v>44</v>
      </c>
      <c r="H824" s="3" t="s">
        <v>42</v>
      </c>
      <c r="I824" s="4" t="n">
        <v>2</v>
      </c>
      <c r="J824" s="4" t="n">
        <v>3.8</v>
      </c>
      <c r="K824" s="3" t="s">
        <v>24</v>
      </c>
      <c r="L824" s="3" t="n">
        <v>301</v>
      </c>
      <c r="M824" s="4" t="n">
        <f aca="false">L824*J824</f>
        <v>1143.8</v>
      </c>
      <c r="N824" s="4" t="n">
        <f aca="false">L824*I824</f>
        <v>602</v>
      </c>
      <c r="O824" s="4" t="n">
        <f aca="false">M824-N824</f>
        <v>541.8</v>
      </c>
      <c r="P824" s="5" t="n">
        <f aca="false">IFERROR(O824/M824,0)</f>
        <v>0.473684210526316</v>
      </c>
    </row>
    <row r="825" customFormat="false" ht="15" hidden="false" customHeight="true" outlineLevel="0" collapsed="false">
      <c r="A825" s="6" t="s">
        <v>89</v>
      </c>
      <c r="B825" s="6" t="s">
        <v>90</v>
      </c>
      <c r="C825" s="6" t="s">
        <v>18</v>
      </c>
      <c r="D825" s="6" t="s">
        <v>91</v>
      </c>
      <c r="E825" s="6" t="s">
        <v>52</v>
      </c>
      <c r="F825" s="6" t="s">
        <v>43</v>
      </c>
      <c r="G825" s="6" t="s">
        <v>44</v>
      </c>
      <c r="H825" s="6" t="s">
        <v>42</v>
      </c>
      <c r="I825" s="7" t="n">
        <v>2</v>
      </c>
      <c r="J825" s="7" t="n">
        <v>3.8</v>
      </c>
      <c r="K825" s="6" t="s">
        <v>25</v>
      </c>
      <c r="L825" s="6" t="n">
        <v>139</v>
      </c>
      <c r="M825" s="7" t="n">
        <f aca="false">L825*J825</f>
        <v>528.2</v>
      </c>
      <c r="N825" s="7" t="n">
        <f aca="false">L825*I825</f>
        <v>278</v>
      </c>
      <c r="O825" s="7" t="n">
        <f aca="false">M825-N825</f>
        <v>250.2</v>
      </c>
      <c r="P825" s="8" t="n">
        <f aca="false">IFERROR(O825/M825,0)</f>
        <v>0.473684210526316</v>
      </c>
    </row>
    <row r="826" customFormat="false" ht="15" hidden="false" customHeight="true" outlineLevel="0" collapsed="false">
      <c r="A826" s="3" t="s">
        <v>89</v>
      </c>
      <c r="B826" s="3" t="s">
        <v>90</v>
      </c>
      <c r="C826" s="3" t="s">
        <v>18</v>
      </c>
      <c r="D826" s="3" t="s">
        <v>91</v>
      </c>
      <c r="E826" s="3" t="s">
        <v>52</v>
      </c>
      <c r="F826" s="3" t="s">
        <v>43</v>
      </c>
      <c r="G826" s="3" t="s">
        <v>44</v>
      </c>
      <c r="H826" s="3" t="s">
        <v>42</v>
      </c>
      <c r="I826" s="4" t="n">
        <v>2</v>
      </c>
      <c r="J826" s="4" t="n">
        <v>3.8</v>
      </c>
      <c r="K826" s="3" t="s">
        <v>26</v>
      </c>
      <c r="L826" s="3" t="n">
        <v>199</v>
      </c>
      <c r="M826" s="4" t="n">
        <f aca="false">L826*J826</f>
        <v>756.2</v>
      </c>
      <c r="N826" s="4" t="n">
        <f aca="false">L826*I826</f>
        <v>398</v>
      </c>
      <c r="O826" s="4" t="n">
        <f aca="false">M826-N826</f>
        <v>358.2</v>
      </c>
      <c r="P826" s="5" t="n">
        <f aca="false">IFERROR(O826/M826,0)</f>
        <v>0.473684210526316</v>
      </c>
    </row>
    <row r="827" customFormat="false" ht="15" hidden="false" customHeight="true" outlineLevel="0" collapsed="false">
      <c r="A827" s="6" t="s">
        <v>89</v>
      </c>
      <c r="B827" s="6" t="s">
        <v>90</v>
      </c>
      <c r="C827" s="6" t="s">
        <v>18</v>
      </c>
      <c r="D827" s="6" t="s">
        <v>91</v>
      </c>
      <c r="E827" s="6" t="s">
        <v>52</v>
      </c>
      <c r="F827" s="6" t="s">
        <v>43</v>
      </c>
      <c r="G827" s="6" t="s">
        <v>44</v>
      </c>
      <c r="H827" s="6" t="s">
        <v>42</v>
      </c>
      <c r="I827" s="7" t="n">
        <v>2</v>
      </c>
      <c r="J827" s="7" t="n">
        <v>3.8</v>
      </c>
      <c r="K827" s="6" t="s">
        <v>27</v>
      </c>
      <c r="L827" s="6" t="n">
        <v>40</v>
      </c>
      <c r="M827" s="7" t="n">
        <f aca="false">L827*J827</f>
        <v>152</v>
      </c>
      <c r="N827" s="7" t="n">
        <f aca="false">L827*I827</f>
        <v>80</v>
      </c>
      <c r="O827" s="7" t="n">
        <f aca="false">M827-N827</f>
        <v>72</v>
      </c>
      <c r="P827" s="8" t="n">
        <f aca="false">IFERROR(O827/M827,0)</f>
        <v>0.473684210526316</v>
      </c>
    </row>
    <row r="828" customFormat="false" ht="15" hidden="false" customHeight="true" outlineLevel="0" collapsed="false">
      <c r="A828" s="3" t="s">
        <v>89</v>
      </c>
      <c r="B828" s="3" t="s">
        <v>90</v>
      </c>
      <c r="C828" s="3" t="s">
        <v>18</v>
      </c>
      <c r="D828" s="3" t="s">
        <v>91</v>
      </c>
      <c r="E828" s="3" t="s">
        <v>52</v>
      </c>
      <c r="F828" s="3" t="s">
        <v>43</v>
      </c>
      <c r="G828" s="3" t="s">
        <v>44</v>
      </c>
      <c r="H828" s="3" t="s">
        <v>42</v>
      </c>
      <c r="I828" s="4" t="n">
        <v>2</v>
      </c>
      <c r="J828" s="4" t="n">
        <v>3.8</v>
      </c>
      <c r="K828" s="3" t="s">
        <v>28</v>
      </c>
      <c r="L828" s="3" t="n">
        <v>249</v>
      </c>
      <c r="M828" s="4" t="n">
        <f aca="false">L828*J828</f>
        <v>946.2</v>
      </c>
      <c r="N828" s="4" t="n">
        <f aca="false">L828*I828</f>
        <v>498</v>
      </c>
      <c r="O828" s="4" t="n">
        <f aca="false">M828-N828</f>
        <v>448.2</v>
      </c>
      <c r="P828" s="5" t="n">
        <f aca="false">IFERROR(O828/M828,0)</f>
        <v>0.473684210526316</v>
      </c>
    </row>
    <row r="829" customFormat="false" ht="15" hidden="false" customHeight="true" outlineLevel="0" collapsed="false">
      <c r="A829" s="6" t="s">
        <v>89</v>
      </c>
      <c r="B829" s="6" t="s">
        <v>90</v>
      </c>
      <c r="C829" s="6" t="s">
        <v>18</v>
      </c>
      <c r="D829" s="6" t="s">
        <v>91</v>
      </c>
      <c r="E829" s="6" t="s">
        <v>52</v>
      </c>
      <c r="F829" s="6" t="s">
        <v>43</v>
      </c>
      <c r="G829" s="6" t="s">
        <v>44</v>
      </c>
      <c r="H829" s="6" t="s">
        <v>42</v>
      </c>
      <c r="I829" s="7" t="n">
        <v>2</v>
      </c>
      <c r="J829" s="7" t="n">
        <v>3.8</v>
      </c>
      <c r="K829" s="6" t="s">
        <v>29</v>
      </c>
      <c r="L829" s="6" t="n">
        <v>310</v>
      </c>
      <c r="M829" s="7" t="n">
        <f aca="false">L829*J829</f>
        <v>1178</v>
      </c>
      <c r="N829" s="7" t="n">
        <f aca="false">L829*I829</f>
        <v>620</v>
      </c>
      <c r="O829" s="7" t="n">
        <f aca="false">M829-N829</f>
        <v>558</v>
      </c>
      <c r="P829" s="8" t="n">
        <f aca="false">IFERROR(O829/M829,0)</f>
        <v>0.473684210526316</v>
      </c>
    </row>
    <row r="830" customFormat="false" ht="15" hidden="false" customHeight="true" outlineLevel="0" collapsed="false">
      <c r="A830" s="3" t="s">
        <v>89</v>
      </c>
      <c r="B830" s="3" t="s">
        <v>90</v>
      </c>
      <c r="C830" s="3" t="s">
        <v>18</v>
      </c>
      <c r="D830" s="3" t="s">
        <v>91</v>
      </c>
      <c r="E830" s="3" t="s">
        <v>52</v>
      </c>
      <c r="F830" s="3" t="s">
        <v>45</v>
      </c>
      <c r="G830" s="3" t="s">
        <v>46</v>
      </c>
      <c r="H830" s="3" t="s">
        <v>42</v>
      </c>
      <c r="I830" s="4" t="n">
        <v>5</v>
      </c>
      <c r="J830" s="4" t="n">
        <v>10</v>
      </c>
      <c r="K830" s="3" t="s">
        <v>24</v>
      </c>
      <c r="L830" s="3" t="n">
        <v>79</v>
      </c>
      <c r="M830" s="4" t="n">
        <f aca="false">L830*J830</f>
        <v>790</v>
      </c>
      <c r="N830" s="4" t="n">
        <f aca="false">L830*I830</f>
        <v>395</v>
      </c>
      <c r="O830" s="4" t="n">
        <f aca="false">M830-N830</f>
        <v>395</v>
      </c>
      <c r="P830" s="5" t="n">
        <f aca="false">IFERROR(O830/M830,0)</f>
        <v>0.5</v>
      </c>
    </row>
    <row r="831" customFormat="false" ht="15" hidden="false" customHeight="true" outlineLevel="0" collapsed="false">
      <c r="A831" s="6" t="s">
        <v>89</v>
      </c>
      <c r="B831" s="6" t="s">
        <v>90</v>
      </c>
      <c r="C831" s="6" t="s">
        <v>18</v>
      </c>
      <c r="D831" s="6" t="s">
        <v>91</v>
      </c>
      <c r="E831" s="6" t="s">
        <v>52</v>
      </c>
      <c r="F831" s="6" t="s">
        <v>45</v>
      </c>
      <c r="G831" s="6" t="s">
        <v>46</v>
      </c>
      <c r="H831" s="6" t="s">
        <v>42</v>
      </c>
      <c r="I831" s="7" t="n">
        <v>5</v>
      </c>
      <c r="J831" s="7" t="n">
        <v>10</v>
      </c>
      <c r="K831" s="6" t="s">
        <v>25</v>
      </c>
      <c r="L831" s="6" t="n">
        <v>195</v>
      </c>
      <c r="M831" s="7" t="n">
        <f aca="false">L831*J831</f>
        <v>1950</v>
      </c>
      <c r="N831" s="7" t="n">
        <f aca="false">L831*I831</f>
        <v>975</v>
      </c>
      <c r="O831" s="7" t="n">
        <f aca="false">M831-N831</f>
        <v>975</v>
      </c>
      <c r="P831" s="8" t="n">
        <f aca="false">IFERROR(O831/M831,0)</f>
        <v>0.5</v>
      </c>
    </row>
    <row r="832" customFormat="false" ht="15" hidden="false" customHeight="true" outlineLevel="0" collapsed="false">
      <c r="A832" s="3" t="s">
        <v>89</v>
      </c>
      <c r="B832" s="3" t="s">
        <v>90</v>
      </c>
      <c r="C832" s="3" t="s">
        <v>18</v>
      </c>
      <c r="D832" s="3" t="s">
        <v>91</v>
      </c>
      <c r="E832" s="3" t="s">
        <v>52</v>
      </c>
      <c r="F832" s="3" t="s">
        <v>45</v>
      </c>
      <c r="G832" s="3" t="s">
        <v>46</v>
      </c>
      <c r="H832" s="3" t="s">
        <v>42</v>
      </c>
      <c r="I832" s="4" t="n">
        <v>5</v>
      </c>
      <c r="J832" s="4" t="n">
        <v>10</v>
      </c>
      <c r="K832" s="3" t="s">
        <v>26</v>
      </c>
      <c r="L832" s="3" t="n">
        <v>335</v>
      </c>
      <c r="M832" s="4" t="n">
        <f aca="false">L832*J832</f>
        <v>3350</v>
      </c>
      <c r="N832" s="4" t="n">
        <f aca="false">L832*I832</f>
        <v>1675</v>
      </c>
      <c r="O832" s="4" t="n">
        <f aca="false">M832-N832</f>
        <v>1675</v>
      </c>
      <c r="P832" s="5" t="n">
        <f aca="false">IFERROR(O832/M832,0)</f>
        <v>0.5</v>
      </c>
    </row>
    <row r="833" customFormat="false" ht="15" hidden="false" customHeight="true" outlineLevel="0" collapsed="false">
      <c r="A833" s="6" t="s">
        <v>89</v>
      </c>
      <c r="B833" s="6" t="s">
        <v>90</v>
      </c>
      <c r="C833" s="6" t="s">
        <v>18</v>
      </c>
      <c r="D833" s="6" t="s">
        <v>91</v>
      </c>
      <c r="E833" s="6" t="s">
        <v>52</v>
      </c>
      <c r="F833" s="6" t="s">
        <v>45</v>
      </c>
      <c r="G833" s="6" t="s">
        <v>46</v>
      </c>
      <c r="H833" s="6" t="s">
        <v>42</v>
      </c>
      <c r="I833" s="7" t="n">
        <v>5</v>
      </c>
      <c r="J833" s="7" t="n">
        <v>10</v>
      </c>
      <c r="K833" s="6" t="s">
        <v>27</v>
      </c>
      <c r="L833" s="6" t="n">
        <v>309</v>
      </c>
      <c r="M833" s="7" t="n">
        <f aca="false">L833*J833</f>
        <v>3090</v>
      </c>
      <c r="N833" s="7" t="n">
        <f aca="false">L833*I833</f>
        <v>1545</v>
      </c>
      <c r="O833" s="7" t="n">
        <f aca="false">M833-N833</f>
        <v>1545</v>
      </c>
      <c r="P833" s="8" t="n">
        <f aca="false">IFERROR(O833/M833,0)</f>
        <v>0.5</v>
      </c>
    </row>
    <row r="834" customFormat="false" ht="15" hidden="false" customHeight="true" outlineLevel="0" collapsed="false">
      <c r="A834" s="3" t="s">
        <v>89</v>
      </c>
      <c r="B834" s="3" t="s">
        <v>90</v>
      </c>
      <c r="C834" s="3" t="s">
        <v>18</v>
      </c>
      <c r="D834" s="3" t="s">
        <v>91</v>
      </c>
      <c r="E834" s="3" t="s">
        <v>52</v>
      </c>
      <c r="F834" s="3" t="s">
        <v>45</v>
      </c>
      <c r="G834" s="3" t="s">
        <v>46</v>
      </c>
      <c r="H834" s="3" t="s">
        <v>42</v>
      </c>
      <c r="I834" s="4" t="n">
        <v>5</v>
      </c>
      <c r="J834" s="4" t="n">
        <v>10</v>
      </c>
      <c r="K834" s="3" t="s">
        <v>28</v>
      </c>
      <c r="L834" s="3" t="n">
        <v>50</v>
      </c>
      <c r="M834" s="4" t="n">
        <f aca="false">L834*J834</f>
        <v>500</v>
      </c>
      <c r="N834" s="4" t="n">
        <f aca="false">L834*I834</f>
        <v>250</v>
      </c>
      <c r="O834" s="4" t="n">
        <f aca="false">M834-N834</f>
        <v>250</v>
      </c>
      <c r="P834" s="5" t="n">
        <f aca="false">IFERROR(O834/M834,0)</f>
        <v>0.5</v>
      </c>
    </row>
    <row r="835" customFormat="false" ht="15" hidden="false" customHeight="true" outlineLevel="0" collapsed="false">
      <c r="A835" s="6" t="s">
        <v>89</v>
      </c>
      <c r="B835" s="6" t="s">
        <v>90</v>
      </c>
      <c r="C835" s="6" t="s">
        <v>18</v>
      </c>
      <c r="D835" s="6" t="s">
        <v>91</v>
      </c>
      <c r="E835" s="6" t="s">
        <v>52</v>
      </c>
      <c r="F835" s="6" t="s">
        <v>45</v>
      </c>
      <c r="G835" s="6" t="s">
        <v>46</v>
      </c>
      <c r="H835" s="6" t="s">
        <v>42</v>
      </c>
      <c r="I835" s="7" t="n">
        <v>5</v>
      </c>
      <c r="J835" s="7" t="n">
        <v>10</v>
      </c>
      <c r="K835" s="6" t="s">
        <v>29</v>
      </c>
      <c r="L835" s="6" t="n">
        <v>342</v>
      </c>
      <c r="M835" s="7" t="n">
        <f aca="false">L835*J835</f>
        <v>3420</v>
      </c>
      <c r="N835" s="7" t="n">
        <f aca="false">L835*I835</f>
        <v>1710</v>
      </c>
      <c r="O835" s="7" t="n">
        <f aca="false">M835-N835</f>
        <v>1710</v>
      </c>
      <c r="P835" s="8" t="n">
        <f aca="false">IFERROR(O835/M835,0)</f>
        <v>0.5</v>
      </c>
    </row>
    <row r="836" customFormat="false" ht="15" hidden="false" customHeight="true" outlineLevel="0" collapsed="false">
      <c r="A836" s="3" t="s">
        <v>89</v>
      </c>
      <c r="B836" s="3" t="s">
        <v>90</v>
      </c>
      <c r="C836" s="3" t="s">
        <v>18</v>
      </c>
      <c r="D836" s="3" t="s">
        <v>91</v>
      </c>
      <c r="E836" s="3" t="s">
        <v>52</v>
      </c>
      <c r="F836" s="3" t="s">
        <v>47</v>
      </c>
      <c r="G836" s="3" t="s">
        <v>48</v>
      </c>
      <c r="H836" s="3" t="s">
        <v>42</v>
      </c>
      <c r="I836" s="4" t="n">
        <v>2.8</v>
      </c>
      <c r="J836" s="4" t="n">
        <v>5.5</v>
      </c>
      <c r="K836" s="3" t="s">
        <v>24</v>
      </c>
      <c r="L836" s="3" t="n">
        <v>229</v>
      </c>
      <c r="M836" s="4" t="n">
        <f aca="false">L836*J836</f>
        <v>1259.5</v>
      </c>
      <c r="N836" s="4" t="n">
        <f aca="false">L836*I836</f>
        <v>641.2</v>
      </c>
      <c r="O836" s="4" t="n">
        <f aca="false">M836-N836</f>
        <v>618.3</v>
      </c>
      <c r="P836" s="5" t="n">
        <f aca="false">IFERROR(O836/M836,0)</f>
        <v>0.490909090909091</v>
      </c>
    </row>
    <row r="837" customFormat="false" ht="15" hidden="false" customHeight="true" outlineLevel="0" collapsed="false">
      <c r="A837" s="6" t="s">
        <v>89</v>
      </c>
      <c r="B837" s="6" t="s">
        <v>90</v>
      </c>
      <c r="C837" s="6" t="s">
        <v>18</v>
      </c>
      <c r="D837" s="6" t="s">
        <v>91</v>
      </c>
      <c r="E837" s="6" t="s">
        <v>52</v>
      </c>
      <c r="F837" s="6" t="s">
        <v>47</v>
      </c>
      <c r="G837" s="6" t="s">
        <v>48</v>
      </c>
      <c r="H837" s="6" t="s">
        <v>42</v>
      </c>
      <c r="I837" s="7" t="n">
        <v>2.8</v>
      </c>
      <c r="J837" s="7" t="n">
        <v>5.5</v>
      </c>
      <c r="K837" s="6" t="s">
        <v>25</v>
      </c>
      <c r="L837" s="6" t="n">
        <v>141</v>
      </c>
      <c r="M837" s="7" t="n">
        <f aca="false">L837*J837</f>
        <v>775.5</v>
      </c>
      <c r="N837" s="7" t="n">
        <f aca="false">L837*I837</f>
        <v>394.8</v>
      </c>
      <c r="O837" s="7" t="n">
        <f aca="false">M837-N837</f>
        <v>380.7</v>
      </c>
      <c r="P837" s="8" t="n">
        <f aca="false">IFERROR(O837/M837,0)</f>
        <v>0.490909090909091</v>
      </c>
    </row>
    <row r="838" customFormat="false" ht="15" hidden="false" customHeight="true" outlineLevel="0" collapsed="false">
      <c r="A838" s="3" t="s">
        <v>89</v>
      </c>
      <c r="B838" s="3" t="s">
        <v>90</v>
      </c>
      <c r="C838" s="3" t="s">
        <v>18</v>
      </c>
      <c r="D838" s="3" t="s">
        <v>91</v>
      </c>
      <c r="E838" s="3" t="s">
        <v>52</v>
      </c>
      <c r="F838" s="3" t="s">
        <v>47</v>
      </c>
      <c r="G838" s="3" t="s">
        <v>48</v>
      </c>
      <c r="H838" s="3" t="s">
        <v>42</v>
      </c>
      <c r="I838" s="4" t="n">
        <v>2.8</v>
      </c>
      <c r="J838" s="4" t="n">
        <v>5.5</v>
      </c>
      <c r="K838" s="3" t="s">
        <v>26</v>
      </c>
      <c r="L838" s="3" t="n">
        <v>225</v>
      </c>
      <c r="M838" s="4" t="n">
        <f aca="false">L838*J838</f>
        <v>1237.5</v>
      </c>
      <c r="N838" s="4" t="n">
        <f aca="false">L838*I838</f>
        <v>630</v>
      </c>
      <c r="O838" s="4" t="n">
        <f aca="false">M838-N838</f>
        <v>607.5</v>
      </c>
      <c r="P838" s="5" t="n">
        <f aca="false">IFERROR(O838/M838,0)</f>
        <v>0.490909090909091</v>
      </c>
    </row>
    <row r="839" customFormat="false" ht="15" hidden="false" customHeight="true" outlineLevel="0" collapsed="false">
      <c r="A839" s="6" t="s">
        <v>89</v>
      </c>
      <c r="B839" s="6" t="s">
        <v>90</v>
      </c>
      <c r="C839" s="6" t="s">
        <v>18</v>
      </c>
      <c r="D839" s="6" t="s">
        <v>91</v>
      </c>
      <c r="E839" s="6" t="s">
        <v>52</v>
      </c>
      <c r="F839" s="6" t="s">
        <v>47</v>
      </c>
      <c r="G839" s="6" t="s">
        <v>48</v>
      </c>
      <c r="H839" s="6" t="s">
        <v>42</v>
      </c>
      <c r="I839" s="7" t="n">
        <v>2.8</v>
      </c>
      <c r="J839" s="7" t="n">
        <v>5.5</v>
      </c>
      <c r="K839" s="6" t="s">
        <v>27</v>
      </c>
      <c r="L839" s="6" t="n">
        <v>213</v>
      </c>
      <c r="M839" s="7" t="n">
        <f aca="false">L839*J839</f>
        <v>1171.5</v>
      </c>
      <c r="N839" s="7" t="n">
        <f aca="false">L839*I839</f>
        <v>596.4</v>
      </c>
      <c r="O839" s="7" t="n">
        <f aca="false">M839-N839</f>
        <v>575.1</v>
      </c>
      <c r="P839" s="8" t="n">
        <f aca="false">IFERROR(O839/M839,0)</f>
        <v>0.490909090909091</v>
      </c>
    </row>
    <row r="840" customFormat="false" ht="15" hidden="false" customHeight="true" outlineLevel="0" collapsed="false">
      <c r="A840" s="3" t="s">
        <v>89</v>
      </c>
      <c r="B840" s="3" t="s">
        <v>90</v>
      </c>
      <c r="C840" s="3" t="s">
        <v>18</v>
      </c>
      <c r="D840" s="3" t="s">
        <v>91</v>
      </c>
      <c r="E840" s="3" t="s">
        <v>52</v>
      </c>
      <c r="F840" s="3" t="s">
        <v>47</v>
      </c>
      <c r="G840" s="3" t="s">
        <v>48</v>
      </c>
      <c r="H840" s="3" t="s">
        <v>42</v>
      </c>
      <c r="I840" s="4" t="n">
        <v>2.8</v>
      </c>
      <c r="J840" s="4" t="n">
        <v>5.5</v>
      </c>
      <c r="K840" s="3" t="s">
        <v>28</v>
      </c>
      <c r="L840" s="3" t="n">
        <v>107</v>
      </c>
      <c r="M840" s="4" t="n">
        <f aca="false">L840*J840</f>
        <v>588.5</v>
      </c>
      <c r="N840" s="4" t="n">
        <f aca="false">L840*I840</f>
        <v>299.6</v>
      </c>
      <c r="O840" s="4" t="n">
        <f aca="false">M840-N840</f>
        <v>288.9</v>
      </c>
      <c r="P840" s="5" t="n">
        <f aca="false">IFERROR(O840/M840,0)</f>
        <v>0.490909090909091</v>
      </c>
    </row>
    <row r="841" customFormat="false" ht="15" hidden="false" customHeight="true" outlineLevel="0" collapsed="false">
      <c r="A841" s="6" t="s">
        <v>89</v>
      </c>
      <c r="B841" s="6" t="s">
        <v>90</v>
      </c>
      <c r="C841" s="6" t="s">
        <v>18</v>
      </c>
      <c r="D841" s="6" t="s">
        <v>91</v>
      </c>
      <c r="E841" s="6" t="s">
        <v>52</v>
      </c>
      <c r="F841" s="6" t="s">
        <v>47</v>
      </c>
      <c r="G841" s="6" t="s">
        <v>48</v>
      </c>
      <c r="H841" s="6" t="s">
        <v>42</v>
      </c>
      <c r="I841" s="7" t="n">
        <v>2.8</v>
      </c>
      <c r="J841" s="7" t="n">
        <v>5.5</v>
      </c>
      <c r="K841" s="6" t="s">
        <v>29</v>
      </c>
      <c r="L841" s="6" t="n">
        <v>254</v>
      </c>
      <c r="M841" s="7" t="n">
        <f aca="false">L841*J841</f>
        <v>1397</v>
      </c>
      <c r="N841" s="7" t="n">
        <f aca="false">L841*I841</f>
        <v>711.2</v>
      </c>
      <c r="O841" s="7" t="n">
        <f aca="false">M841-N841</f>
        <v>685.8</v>
      </c>
      <c r="P841" s="8" t="n">
        <f aca="false">IFERROR(O841/M841,0)</f>
        <v>0.490909090909091</v>
      </c>
    </row>
    <row r="842" customFormat="false" ht="15" hidden="false" customHeight="true" outlineLevel="0" collapsed="false">
      <c r="A842" s="3" t="s">
        <v>92</v>
      </c>
      <c r="B842" s="3" t="s">
        <v>93</v>
      </c>
      <c r="C842" s="3" t="s">
        <v>59</v>
      </c>
      <c r="D842" s="3" t="s">
        <v>94</v>
      </c>
      <c r="E842" s="3" t="s">
        <v>61</v>
      </c>
      <c r="F842" s="3" t="s">
        <v>21</v>
      </c>
      <c r="G842" s="3" t="s">
        <v>22</v>
      </c>
      <c r="H842" s="3" t="s">
        <v>23</v>
      </c>
      <c r="I842" s="4" t="n">
        <v>8.99</v>
      </c>
      <c r="J842" s="4" t="n">
        <v>22</v>
      </c>
      <c r="K842" s="3" t="s">
        <v>24</v>
      </c>
      <c r="L842" s="3" t="n">
        <v>53</v>
      </c>
      <c r="M842" s="4" t="n">
        <f aca="false">L842*J842</f>
        <v>1166</v>
      </c>
      <c r="N842" s="4" t="n">
        <f aca="false">L842*I842</f>
        <v>476.47</v>
      </c>
      <c r="O842" s="4" t="n">
        <f aca="false">M842-N842</f>
        <v>689.53</v>
      </c>
      <c r="P842" s="5" t="n">
        <f aca="false">IFERROR(O842/M842,0)</f>
        <v>0.591363636363636</v>
      </c>
    </row>
    <row r="843" customFormat="false" ht="15" hidden="false" customHeight="true" outlineLevel="0" collapsed="false">
      <c r="A843" s="6" t="s">
        <v>92</v>
      </c>
      <c r="B843" s="6" t="s">
        <v>93</v>
      </c>
      <c r="C843" s="6" t="s">
        <v>59</v>
      </c>
      <c r="D843" s="6" t="s">
        <v>94</v>
      </c>
      <c r="E843" s="6" t="s">
        <v>61</v>
      </c>
      <c r="F843" s="6" t="s">
        <v>21</v>
      </c>
      <c r="G843" s="6" t="s">
        <v>22</v>
      </c>
      <c r="H843" s="6" t="s">
        <v>23</v>
      </c>
      <c r="I843" s="7" t="n">
        <v>8.99</v>
      </c>
      <c r="J843" s="7" t="n">
        <v>22</v>
      </c>
      <c r="K843" s="6" t="s">
        <v>25</v>
      </c>
      <c r="L843" s="6" t="n">
        <v>202</v>
      </c>
      <c r="M843" s="7" t="n">
        <f aca="false">L843*J843</f>
        <v>4444</v>
      </c>
      <c r="N843" s="7" t="n">
        <f aca="false">L843*I843</f>
        <v>1815.98</v>
      </c>
      <c r="O843" s="7" t="n">
        <f aca="false">M843-N843</f>
        <v>2628.02</v>
      </c>
      <c r="P843" s="8" t="n">
        <f aca="false">IFERROR(O843/M843,0)</f>
        <v>0.591363636363636</v>
      </c>
    </row>
    <row r="844" customFormat="false" ht="15" hidden="false" customHeight="true" outlineLevel="0" collapsed="false">
      <c r="A844" s="3" t="s">
        <v>92</v>
      </c>
      <c r="B844" s="3" t="s">
        <v>93</v>
      </c>
      <c r="C844" s="3" t="s">
        <v>59</v>
      </c>
      <c r="D844" s="3" t="s">
        <v>94</v>
      </c>
      <c r="E844" s="3" t="s">
        <v>61</v>
      </c>
      <c r="F844" s="3" t="s">
        <v>21</v>
      </c>
      <c r="G844" s="3" t="s">
        <v>22</v>
      </c>
      <c r="H844" s="3" t="s">
        <v>23</v>
      </c>
      <c r="I844" s="4" t="n">
        <v>8.99</v>
      </c>
      <c r="J844" s="4" t="n">
        <v>22</v>
      </c>
      <c r="K844" s="3" t="s">
        <v>26</v>
      </c>
      <c r="L844" s="3" t="n">
        <v>134</v>
      </c>
      <c r="M844" s="4" t="n">
        <f aca="false">L844*J844</f>
        <v>2948</v>
      </c>
      <c r="N844" s="4" t="n">
        <f aca="false">L844*I844</f>
        <v>1204.66</v>
      </c>
      <c r="O844" s="4" t="n">
        <f aca="false">M844-N844</f>
        <v>1743.34</v>
      </c>
      <c r="P844" s="5" t="n">
        <f aca="false">IFERROR(O844/M844,0)</f>
        <v>0.591363636363636</v>
      </c>
    </row>
    <row r="845" customFormat="false" ht="15" hidden="false" customHeight="true" outlineLevel="0" collapsed="false">
      <c r="A845" s="6" t="s">
        <v>92</v>
      </c>
      <c r="B845" s="6" t="s">
        <v>93</v>
      </c>
      <c r="C845" s="6" t="s">
        <v>59</v>
      </c>
      <c r="D845" s="6" t="s">
        <v>94</v>
      </c>
      <c r="E845" s="6" t="s">
        <v>61</v>
      </c>
      <c r="F845" s="6" t="s">
        <v>21</v>
      </c>
      <c r="G845" s="6" t="s">
        <v>22</v>
      </c>
      <c r="H845" s="6" t="s">
        <v>23</v>
      </c>
      <c r="I845" s="7" t="n">
        <v>8.99</v>
      </c>
      <c r="J845" s="7" t="n">
        <v>22</v>
      </c>
      <c r="K845" s="6" t="s">
        <v>27</v>
      </c>
      <c r="L845" s="6" t="n">
        <v>298</v>
      </c>
      <c r="M845" s="7" t="n">
        <f aca="false">L845*J845</f>
        <v>6556</v>
      </c>
      <c r="N845" s="7" t="n">
        <f aca="false">L845*I845</f>
        <v>2679.02</v>
      </c>
      <c r="O845" s="7" t="n">
        <f aca="false">M845-N845</f>
        <v>3876.98</v>
      </c>
      <c r="P845" s="8" t="n">
        <f aca="false">IFERROR(O845/M845,0)</f>
        <v>0.591363636363636</v>
      </c>
    </row>
    <row r="846" customFormat="false" ht="15" hidden="false" customHeight="true" outlineLevel="0" collapsed="false">
      <c r="A846" s="3" t="s">
        <v>92</v>
      </c>
      <c r="B846" s="3" t="s">
        <v>93</v>
      </c>
      <c r="C846" s="3" t="s">
        <v>59</v>
      </c>
      <c r="D846" s="3" t="s">
        <v>94</v>
      </c>
      <c r="E846" s="3" t="s">
        <v>61</v>
      </c>
      <c r="F846" s="3" t="s">
        <v>21</v>
      </c>
      <c r="G846" s="3" t="s">
        <v>22</v>
      </c>
      <c r="H846" s="3" t="s">
        <v>23</v>
      </c>
      <c r="I846" s="4" t="n">
        <v>8.99</v>
      </c>
      <c r="J846" s="4" t="n">
        <v>22</v>
      </c>
      <c r="K846" s="3" t="s">
        <v>28</v>
      </c>
      <c r="L846" s="3" t="n">
        <v>141</v>
      </c>
      <c r="M846" s="4" t="n">
        <f aca="false">L846*J846</f>
        <v>3102</v>
      </c>
      <c r="N846" s="4" t="n">
        <f aca="false">L846*I846</f>
        <v>1267.59</v>
      </c>
      <c r="O846" s="4" t="n">
        <f aca="false">M846-N846</f>
        <v>1834.41</v>
      </c>
      <c r="P846" s="5" t="n">
        <f aca="false">IFERROR(O846/M846,0)</f>
        <v>0.591363636363636</v>
      </c>
    </row>
    <row r="847" customFormat="false" ht="15" hidden="false" customHeight="true" outlineLevel="0" collapsed="false">
      <c r="A847" s="6" t="s">
        <v>92</v>
      </c>
      <c r="B847" s="6" t="s">
        <v>93</v>
      </c>
      <c r="C847" s="6" t="s">
        <v>59</v>
      </c>
      <c r="D847" s="6" t="s">
        <v>94</v>
      </c>
      <c r="E847" s="6" t="s">
        <v>61</v>
      </c>
      <c r="F847" s="6" t="s">
        <v>21</v>
      </c>
      <c r="G847" s="6" t="s">
        <v>22</v>
      </c>
      <c r="H847" s="6" t="s">
        <v>23</v>
      </c>
      <c r="I847" s="7" t="n">
        <v>8.99</v>
      </c>
      <c r="J847" s="7" t="n">
        <v>22</v>
      </c>
      <c r="K847" s="6" t="s">
        <v>29</v>
      </c>
      <c r="L847" s="6" t="n">
        <v>84</v>
      </c>
      <c r="M847" s="7" t="n">
        <f aca="false">L847*J847</f>
        <v>1848</v>
      </c>
      <c r="N847" s="7" t="n">
        <f aca="false">L847*I847</f>
        <v>755.16</v>
      </c>
      <c r="O847" s="7" t="n">
        <f aca="false">M847-N847</f>
        <v>1092.84</v>
      </c>
      <c r="P847" s="8" t="n">
        <f aca="false">IFERROR(O847/M847,0)</f>
        <v>0.591363636363636</v>
      </c>
    </row>
    <row r="848" customFormat="false" ht="15" hidden="false" customHeight="true" outlineLevel="0" collapsed="false">
      <c r="A848" s="3" t="s">
        <v>92</v>
      </c>
      <c r="B848" s="3" t="s">
        <v>93</v>
      </c>
      <c r="C848" s="3" t="s">
        <v>59</v>
      </c>
      <c r="D848" s="3" t="s">
        <v>94</v>
      </c>
      <c r="E848" s="3" t="s">
        <v>61</v>
      </c>
      <c r="F848" s="3" t="s">
        <v>30</v>
      </c>
      <c r="G848" s="3" t="s">
        <v>31</v>
      </c>
      <c r="H848" s="3" t="s">
        <v>23</v>
      </c>
      <c r="I848" s="4" t="n">
        <v>8.5</v>
      </c>
      <c r="J848" s="4" t="n">
        <v>21</v>
      </c>
      <c r="K848" s="3" t="s">
        <v>24</v>
      </c>
      <c r="L848" s="3" t="n">
        <v>47</v>
      </c>
      <c r="M848" s="4" t="n">
        <f aca="false">L848*J848</f>
        <v>987</v>
      </c>
      <c r="N848" s="4" t="n">
        <f aca="false">L848*I848</f>
        <v>399.5</v>
      </c>
      <c r="O848" s="4" t="n">
        <f aca="false">M848-N848</f>
        <v>587.5</v>
      </c>
      <c r="P848" s="5" t="n">
        <f aca="false">IFERROR(O848/M848,0)</f>
        <v>0.595238095238095</v>
      </c>
    </row>
    <row r="849" customFormat="false" ht="15" hidden="false" customHeight="true" outlineLevel="0" collapsed="false">
      <c r="A849" s="6" t="s">
        <v>92</v>
      </c>
      <c r="B849" s="6" t="s">
        <v>93</v>
      </c>
      <c r="C849" s="6" t="s">
        <v>59</v>
      </c>
      <c r="D849" s="6" t="s">
        <v>94</v>
      </c>
      <c r="E849" s="6" t="s">
        <v>61</v>
      </c>
      <c r="F849" s="6" t="s">
        <v>30</v>
      </c>
      <c r="G849" s="6" t="s">
        <v>31</v>
      </c>
      <c r="H849" s="6" t="s">
        <v>23</v>
      </c>
      <c r="I849" s="7" t="n">
        <v>8.5</v>
      </c>
      <c r="J849" s="7" t="n">
        <v>21</v>
      </c>
      <c r="K849" s="6" t="s">
        <v>25</v>
      </c>
      <c r="L849" s="6" t="n">
        <v>117</v>
      </c>
      <c r="M849" s="7" t="n">
        <f aca="false">L849*J849</f>
        <v>2457</v>
      </c>
      <c r="N849" s="7" t="n">
        <f aca="false">L849*I849</f>
        <v>994.5</v>
      </c>
      <c r="O849" s="7" t="n">
        <f aca="false">M849-N849</f>
        <v>1462.5</v>
      </c>
      <c r="P849" s="8" t="n">
        <f aca="false">IFERROR(O849/M849,0)</f>
        <v>0.595238095238095</v>
      </c>
    </row>
    <row r="850" customFormat="false" ht="15" hidden="false" customHeight="true" outlineLevel="0" collapsed="false">
      <c r="A850" s="3" t="s">
        <v>92</v>
      </c>
      <c r="B850" s="3" t="s">
        <v>93</v>
      </c>
      <c r="C850" s="3" t="s">
        <v>59</v>
      </c>
      <c r="D850" s="3" t="s">
        <v>94</v>
      </c>
      <c r="E850" s="3" t="s">
        <v>61</v>
      </c>
      <c r="F850" s="3" t="s">
        <v>30</v>
      </c>
      <c r="G850" s="3" t="s">
        <v>31</v>
      </c>
      <c r="H850" s="3" t="s">
        <v>23</v>
      </c>
      <c r="I850" s="4" t="n">
        <v>8.5</v>
      </c>
      <c r="J850" s="4" t="n">
        <v>21</v>
      </c>
      <c r="K850" s="3" t="s">
        <v>26</v>
      </c>
      <c r="L850" s="3" t="n">
        <v>136</v>
      </c>
      <c r="M850" s="4" t="n">
        <f aca="false">L850*J850</f>
        <v>2856</v>
      </c>
      <c r="N850" s="4" t="n">
        <f aca="false">L850*I850</f>
        <v>1156</v>
      </c>
      <c r="O850" s="4" t="n">
        <f aca="false">M850-N850</f>
        <v>1700</v>
      </c>
      <c r="P850" s="5" t="n">
        <f aca="false">IFERROR(O850/M850,0)</f>
        <v>0.595238095238095</v>
      </c>
    </row>
    <row r="851" customFormat="false" ht="15" hidden="false" customHeight="true" outlineLevel="0" collapsed="false">
      <c r="A851" s="6" t="s">
        <v>92</v>
      </c>
      <c r="B851" s="6" t="s">
        <v>93</v>
      </c>
      <c r="C851" s="6" t="s">
        <v>59</v>
      </c>
      <c r="D851" s="6" t="s">
        <v>94</v>
      </c>
      <c r="E851" s="6" t="s">
        <v>61</v>
      </c>
      <c r="F851" s="6" t="s">
        <v>30</v>
      </c>
      <c r="G851" s="6" t="s">
        <v>31</v>
      </c>
      <c r="H851" s="6" t="s">
        <v>23</v>
      </c>
      <c r="I851" s="7" t="n">
        <v>8.5</v>
      </c>
      <c r="J851" s="7" t="n">
        <v>21</v>
      </c>
      <c r="K851" s="6" t="s">
        <v>27</v>
      </c>
      <c r="L851" s="6" t="n">
        <v>199</v>
      </c>
      <c r="M851" s="7" t="n">
        <f aca="false">L851*J851</f>
        <v>4179</v>
      </c>
      <c r="N851" s="7" t="n">
        <f aca="false">L851*I851</f>
        <v>1691.5</v>
      </c>
      <c r="O851" s="7" t="n">
        <f aca="false">M851-N851</f>
        <v>2487.5</v>
      </c>
      <c r="P851" s="8" t="n">
        <f aca="false">IFERROR(O851/M851,0)</f>
        <v>0.595238095238095</v>
      </c>
    </row>
    <row r="852" customFormat="false" ht="15" hidden="false" customHeight="true" outlineLevel="0" collapsed="false">
      <c r="A852" s="3" t="s">
        <v>92</v>
      </c>
      <c r="B852" s="3" t="s">
        <v>93</v>
      </c>
      <c r="C852" s="3" t="s">
        <v>59</v>
      </c>
      <c r="D852" s="3" t="s">
        <v>94</v>
      </c>
      <c r="E852" s="3" t="s">
        <v>61</v>
      </c>
      <c r="F852" s="3" t="s">
        <v>30</v>
      </c>
      <c r="G852" s="3" t="s">
        <v>31</v>
      </c>
      <c r="H852" s="3" t="s">
        <v>23</v>
      </c>
      <c r="I852" s="4" t="n">
        <v>8.5</v>
      </c>
      <c r="J852" s="4" t="n">
        <v>21</v>
      </c>
      <c r="K852" s="3" t="s">
        <v>28</v>
      </c>
      <c r="L852" s="3" t="n">
        <v>353</v>
      </c>
      <c r="M852" s="4" t="n">
        <f aca="false">L852*J852</f>
        <v>7413</v>
      </c>
      <c r="N852" s="4" t="n">
        <f aca="false">L852*I852</f>
        <v>3000.5</v>
      </c>
      <c r="O852" s="4" t="n">
        <f aca="false">M852-N852</f>
        <v>4412.5</v>
      </c>
      <c r="P852" s="5" t="n">
        <f aca="false">IFERROR(O852/M852,0)</f>
        <v>0.595238095238095</v>
      </c>
    </row>
    <row r="853" customFormat="false" ht="15" hidden="false" customHeight="true" outlineLevel="0" collapsed="false">
      <c r="A853" s="6" t="s">
        <v>92</v>
      </c>
      <c r="B853" s="6" t="s">
        <v>93</v>
      </c>
      <c r="C853" s="6" t="s">
        <v>59</v>
      </c>
      <c r="D853" s="6" t="s">
        <v>94</v>
      </c>
      <c r="E853" s="6" t="s">
        <v>61</v>
      </c>
      <c r="F853" s="6" t="s">
        <v>30</v>
      </c>
      <c r="G853" s="6" t="s">
        <v>31</v>
      </c>
      <c r="H853" s="6" t="s">
        <v>23</v>
      </c>
      <c r="I853" s="7" t="n">
        <v>8.5</v>
      </c>
      <c r="J853" s="7" t="n">
        <v>21</v>
      </c>
      <c r="K853" s="6" t="s">
        <v>29</v>
      </c>
      <c r="L853" s="6" t="n">
        <v>351</v>
      </c>
      <c r="M853" s="7" t="n">
        <f aca="false">L853*J853</f>
        <v>7371</v>
      </c>
      <c r="N853" s="7" t="n">
        <f aca="false">L853*I853</f>
        <v>2983.5</v>
      </c>
      <c r="O853" s="7" t="n">
        <f aca="false">M853-N853</f>
        <v>4387.5</v>
      </c>
      <c r="P853" s="8" t="n">
        <f aca="false">IFERROR(O853/M853,0)</f>
        <v>0.595238095238095</v>
      </c>
    </row>
    <row r="854" customFormat="false" ht="15" hidden="false" customHeight="true" outlineLevel="0" collapsed="false">
      <c r="A854" s="3" t="s">
        <v>92</v>
      </c>
      <c r="B854" s="3" t="s">
        <v>93</v>
      </c>
      <c r="C854" s="3" t="s">
        <v>59</v>
      </c>
      <c r="D854" s="3" t="s">
        <v>94</v>
      </c>
      <c r="E854" s="3" t="s">
        <v>61</v>
      </c>
      <c r="F854" s="3" t="s">
        <v>32</v>
      </c>
      <c r="G854" s="3" t="s">
        <v>33</v>
      </c>
      <c r="H854" s="3" t="s">
        <v>23</v>
      </c>
      <c r="I854" s="4" t="n">
        <v>2.5</v>
      </c>
      <c r="J854" s="4" t="n">
        <v>4.5</v>
      </c>
      <c r="K854" s="3" t="s">
        <v>24</v>
      </c>
      <c r="L854" s="3" t="n">
        <v>58</v>
      </c>
      <c r="M854" s="4" t="n">
        <f aca="false">L854*J854</f>
        <v>261</v>
      </c>
      <c r="N854" s="4" t="n">
        <f aca="false">L854*I854</f>
        <v>145</v>
      </c>
      <c r="O854" s="4" t="n">
        <f aca="false">M854-N854</f>
        <v>116</v>
      </c>
      <c r="P854" s="5" t="n">
        <f aca="false">IFERROR(O854/M854,0)</f>
        <v>0.444444444444444</v>
      </c>
    </row>
    <row r="855" customFormat="false" ht="15" hidden="false" customHeight="true" outlineLevel="0" collapsed="false">
      <c r="A855" s="6" t="s">
        <v>92</v>
      </c>
      <c r="B855" s="6" t="s">
        <v>93</v>
      </c>
      <c r="C855" s="6" t="s">
        <v>59</v>
      </c>
      <c r="D855" s="6" t="s">
        <v>94</v>
      </c>
      <c r="E855" s="6" t="s">
        <v>61</v>
      </c>
      <c r="F855" s="6" t="s">
        <v>32</v>
      </c>
      <c r="G855" s="6" t="s">
        <v>33</v>
      </c>
      <c r="H855" s="6" t="s">
        <v>23</v>
      </c>
      <c r="I855" s="7" t="n">
        <v>2.5</v>
      </c>
      <c r="J855" s="7" t="n">
        <v>4.5</v>
      </c>
      <c r="K855" s="6" t="s">
        <v>25</v>
      </c>
      <c r="L855" s="6" t="n">
        <v>119</v>
      </c>
      <c r="M855" s="7" t="n">
        <f aca="false">L855*J855</f>
        <v>535.5</v>
      </c>
      <c r="N855" s="7" t="n">
        <f aca="false">L855*I855</f>
        <v>297.5</v>
      </c>
      <c r="O855" s="7" t="n">
        <f aca="false">M855-N855</f>
        <v>238</v>
      </c>
      <c r="P855" s="8" t="n">
        <f aca="false">IFERROR(O855/M855,0)</f>
        <v>0.444444444444444</v>
      </c>
    </row>
    <row r="856" customFormat="false" ht="15" hidden="false" customHeight="true" outlineLevel="0" collapsed="false">
      <c r="A856" s="3" t="s">
        <v>92</v>
      </c>
      <c r="B856" s="3" t="s">
        <v>93</v>
      </c>
      <c r="C856" s="3" t="s">
        <v>59</v>
      </c>
      <c r="D856" s="3" t="s">
        <v>94</v>
      </c>
      <c r="E856" s="3" t="s">
        <v>61</v>
      </c>
      <c r="F856" s="3" t="s">
        <v>32</v>
      </c>
      <c r="G856" s="3" t="s">
        <v>33</v>
      </c>
      <c r="H856" s="3" t="s">
        <v>23</v>
      </c>
      <c r="I856" s="4" t="n">
        <v>2.5</v>
      </c>
      <c r="J856" s="4" t="n">
        <v>4.5</v>
      </c>
      <c r="K856" s="3" t="s">
        <v>26</v>
      </c>
      <c r="L856" s="3" t="n">
        <v>224</v>
      </c>
      <c r="M856" s="4" t="n">
        <f aca="false">L856*J856</f>
        <v>1008</v>
      </c>
      <c r="N856" s="4" t="n">
        <f aca="false">L856*I856</f>
        <v>560</v>
      </c>
      <c r="O856" s="4" t="n">
        <f aca="false">M856-N856</f>
        <v>448</v>
      </c>
      <c r="P856" s="5" t="n">
        <f aca="false">IFERROR(O856/M856,0)</f>
        <v>0.444444444444444</v>
      </c>
    </row>
    <row r="857" customFormat="false" ht="15" hidden="false" customHeight="true" outlineLevel="0" collapsed="false">
      <c r="A857" s="6" t="s">
        <v>92</v>
      </c>
      <c r="B857" s="6" t="s">
        <v>93</v>
      </c>
      <c r="C857" s="6" t="s">
        <v>59</v>
      </c>
      <c r="D857" s="6" t="s">
        <v>94</v>
      </c>
      <c r="E857" s="6" t="s">
        <v>61</v>
      </c>
      <c r="F857" s="6" t="s">
        <v>32</v>
      </c>
      <c r="G857" s="6" t="s">
        <v>33</v>
      </c>
      <c r="H857" s="6" t="s">
        <v>23</v>
      </c>
      <c r="I857" s="7" t="n">
        <v>2.5</v>
      </c>
      <c r="J857" s="7" t="n">
        <v>4.5</v>
      </c>
      <c r="K857" s="6" t="s">
        <v>27</v>
      </c>
      <c r="L857" s="6" t="n">
        <v>206</v>
      </c>
      <c r="M857" s="7" t="n">
        <f aca="false">L857*J857</f>
        <v>927</v>
      </c>
      <c r="N857" s="7" t="n">
        <f aca="false">L857*I857</f>
        <v>515</v>
      </c>
      <c r="O857" s="7" t="n">
        <f aca="false">M857-N857</f>
        <v>412</v>
      </c>
      <c r="P857" s="8" t="n">
        <f aca="false">IFERROR(O857/M857,0)</f>
        <v>0.444444444444444</v>
      </c>
    </row>
    <row r="858" customFormat="false" ht="15" hidden="false" customHeight="true" outlineLevel="0" collapsed="false">
      <c r="A858" s="3" t="s">
        <v>92</v>
      </c>
      <c r="B858" s="3" t="s">
        <v>93</v>
      </c>
      <c r="C858" s="3" t="s">
        <v>59</v>
      </c>
      <c r="D858" s="3" t="s">
        <v>94</v>
      </c>
      <c r="E858" s="3" t="s">
        <v>61</v>
      </c>
      <c r="F858" s="3" t="s">
        <v>32</v>
      </c>
      <c r="G858" s="3" t="s">
        <v>33</v>
      </c>
      <c r="H858" s="3" t="s">
        <v>23</v>
      </c>
      <c r="I858" s="4" t="n">
        <v>2.5</v>
      </c>
      <c r="J858" s="4" t="n">
        <v>4.5</v>
      </c>
      <c r="K858" s="3" t="s">
        <v>28</v>
      </c>
      <c r="L858" s="3" t="n">
        <v>112</v>
      </c>
      <c r="M858" s="4" t="n">
        <f aca="false">L858*J858</f>
        <v>504</v>
      </c>
      <c r="N858" s="4" t="n">
        <f aca="false">L858*I858</f>
        <v>280</v>
      </c>
      <c r="O858" s="4" t="n">
        <f aca="false">M858-N858</f>
        <v>224</v>
      </c>
      <c r="P858" s="5" t="n">
        <f aca="false">IFERROR(O858/M858,0)</f>
        <v>0.444444444444444</v>
      </c>
    </row>
    <row r="859" customFormat="false" ht="15" hidden="false" customHeight="true" outlineLevel="0" collapsed="false">
      <c r="A859" s="6" t="s">
        <v>92</v>
      </c>
      <c r="B859" s="6" t="s">
        <v>93</v>
      </c>
      <c r="C859" s="6" t="s">
        <v>59</v>
      </c>
      <c r="D859" s="6" t="s">
        <v>94</v>
      </c>
      <c r="E859" s="6" t="s">
        <v>61</v>
      </c>
      <c r="F859" s="6" t="s">
        <v>32</v>
      </c>
      <c r="G859" s="6" t="s">
        <v>33</v>
      </c>
      <c r="H859" s="6" t="s">
        <v>23</v>
      </c>
      <c r="I859" s="7" t="n">
        <v>2.5</v>
      </c>
      <c r="J859" s="7" t="n">
        <v>4.5</v>
      </c>
      <c r="K859" s="6" t="s">
        <v>29</v>
      </c>
      <c r="L859" s="6" t="n">
        <v>330</v>
      </c>
      <c r="M859" s="7" t="n">
        <f aca="false">L859*J859</f>
        <v>1485</v>
      </c>
      <c r="N859" s="7" t="n">
        <f aca="false">L859*I859</f>
        <v>825</v>
      </c>
      <c r="O859" s="7" t="n">
        <f aca="false">M859-N859</f>
        <v>660</v>
      </c>
      <c r="P859" s="8" t="n">
        <f aca="false">IFERROR(O859/M859,0)</f>
        <v>0.444444444444444</v>
      </c>
    </row>
    <row r="860" customFormat="false" ht="15" hidden="false" customHeight="true" outlineLevel="0" collapsed="false">
      <c r="A860" s="3" t="s">
        <v>92</v>
      </c>
      <c r="B860" s="3" t="s">
        <v>93</v>
      </c>
      <c r="C860" s="3" t="s">
        <v>59</v>
      </c>
      <c r="D860" s="3" t="s">
        <v>94</v>
      </c>
      <c r="E860" s="3" t="s">
        <v>61</v>
      </c>
      <c r="F860" s="3" t="s">
        <v>34</v>
      </c>
      <c r="G860" s="3" t="s">
        <v>35</v>
      </c>
      <c r="H860" s="3" t="s">
        <v>23</v>
      </c>
      <c r="I860" s="4" t="n">
        <v>6</v>
      </c>
      <c r="J860" s="4" t="n">
        <v>12.5</v>
      </c>
      <c r="K860" s="3" t="s">
        <v>24</v>
      </c>
      <c r="L860" s="3" t="n">
        <v>257</v>
      </c>
      <c r="M860" s="4" t="n">
        <f aca="false">L860*J860</f>
        <v>3212.5</v>
      </c>
      <c r="N860" s="4" t="n">
        <f aca="false">L860*I860</f>
        <v>1542</v>
      </c>
      <c r="O860" s="4" t="n">
        <f aca="false">M860-N860</f>
        <v>1670.5</v>
      </c>
      <c r="P860" s="5" t="n">
        <f aca="false">IFERROR(O860/M860,0)</f>
        <v>0.52</v>
      </c>
    </row>
    <row r="861" customFormat="false" ht="15" hidden="false" customHeight="true" outlineLevel="0" collapsed="false">
      <c r="A861" s="6" t="s">
        <v>92</v>
      </c>
      <c r="B861" s="6" t="s">
        <v>93</v>
      </c>
      <c r="C861" s="6" t="s">
        <v>59</v>
      </c>
      <c r="D861" s="6" t="s">
        <v>94</v>
      </c>
      <c r="E861" s="6" t="s">
        <v>61</v>
      </c>
      <c r="F861" s="6" t="s">
        <v>34</v>
      </c>
      <c r="G861" s="6" t="s">
        <v>35</v>
      </c>
      <c r="H861" s="6" t="s">
        <v>23</v>
      </c>
      <c r="I861" s="7" t="n">
        <v>6</v>
      </c>
      <c r="J861" s="7" t="n">
        <v>12.5</v>
      </c>
      <c r="K861" s="6" t="s">
        <v>25</v>
      </c>
      <c r="L861" s="6" t="n">
        <v>187</v>
      </c>
      <c r="M861" s="7" t="n">
        <f aca="false">L861*J861</f>
        <v>2337.5</v>
      </c>
      <c r="N861" s="7" t="n">
        <f aca="false">L861*I861</f>
        <v>1122</v>
      </c>
      <c r="O861" s="7" t="n">
        <f aca="false">M861-N861</f>
        <v>1215.5</v>
      </c>
      <c r="P861" s="8" t="n">
        <f aca="false">IFERROR(O861/M861,0)</f>
        <v>0.52</v>
      </c>
    </row>
    <row r="862" customFormat="false" ht="15" hidden="false" customHeight="true" outlineLevel="0" collapsed="false">
      <c r="A862" s="3" t="s">
        <v>92</v>
      </c>
      <c r="B862" s="3" t="s">
        <v>93</v>
      </c>
      <c r="C862" s="3" t="s">
        <v>59</v>
      </c>
      <c r="D862" s="3" t="s">
        <v>94</v>
      </c>
      <c r="E862" s="3" t="s">
        <v>61</v>
      </c>
      <c r="F862" s="3" t="s">
        <v>34</v>
      </c>
      <c r="G862" s="3" t="s">
        <v>35</v>
      </c>
      <c r="H862" s="3" t="s">
        <v>23</v>
      </c>
      <c r="I862" s="4" t="n">
        <v>6</v>
      </c>
      <c r="J862" s="4" t="n">
        <v>12.5</v>
      </c>
      <c r="K862" s="3" t="s">
        <v>26</v>
      </c>
      <c r="L862" s="3" t="n">
        <v>317</v>
      </c>
      <c r="M862" s="4" t="n">
        <f aca="false">L862*J862</f>
        <v>3962.5</v>
      </c>
      <c r="N862" s="4" t="n">
        <f aca="false">L862*I862</f>
        <v>1902</v>
      </c>
      <c r="O862" s="4" t="n">
        <f aca="false">M862-N862</f>
        <v>2060.5</v>
      </c>
      <c r="P862" s="5" t="n">
        <f aca="false">IFERROR(O862/M862,0)</f>
        <v>0.52</v>
      </c>
    </row>
    <row r="863" customFormat="false" ht="15" hidden="false" customHeight="true" outlineLevel="0" collapsed="false">
      <c r="A863" s="6" t="s">
        <v>92</v>
      </c>
      <c r="B863" s="6" t="s">
        <v>93</v>
      </c>
      <c r="C863" s="6" t="s">
        <v>59</v>
      </c>
      <c r="D863" s="6" t="s">
        <v>94</v>
      </c>
      <c r="E863" s="6" t="s">
        <v>61</v>
      </c>
      <c r="F863" s="6" t="s">
        <v>34</v>
      </c>
      <c r="G863" s="6" t="s">
        <v>35</v>
      </c>
      <c r="H863" s="6" t="s">
        <v>23</v>
      </c>
      <c r="I863" s="7" t="n">
        <v>6</v>
      </c>
      <c r="J863" s="7" t="n">
        <v>12.5</v>
      </c>
      <c r="K863" s="6" t="s">
        <v>27</v>
      </c>
      <c r="L863" s="6" t="n">
        <v>234</v>
      </c>
      <c r="M863" s="7" t="n">
        <f aca="false">L863*J863</f>
        <v>2925</v>
      </c>
      <c r="N863" s="7" t="n">
        <f aca="false">L863*I863</f>
        <v>1404</v>
      </c>
      <c r="O863" s="7" t="n">
        <f aca="false">M863-N863</f>
        <v>1521</v>
      </c>
      <c r="P863" s="8" t="n">
        <f aca="false">IFERROR(O863/M863,0)</f>
        <v>0.52</v>
      </c>
    </row>
    <row r="864" customFormat="false" ht="15" hidden="false" customHeight="true" outlineLevel="0" collapsed="false">
      <c r="A864" s="3" t="s">
        <v>92</v>
      </c>
      <c r="B864" s="3" t="s">
        <v>93</v>
      </c>
      <c r="C864" s="3" t="s">
        <v>59</v>
      </c>
      <c r="D864" s="3" t="s">
        <v>94</v>
      </c>
      <c r="E864" s="3" t="s">
        <v>61</v>
      </c>
      <c r="F864" s="3" t="s">
        <v>34</v>
      </c>
      <c r="G864" s="3" t="s">
        <v>35</v>
      </c>
      <c r="H864" s="3" t="s">
        <v>23</v>
      </c>
      <c r="I864" s="4" t="n">
        <v>6</v>
      </c>
      <c r="J864" s="4" t="n">
        <v>12.5</v>
      </c>
      <c r="K864" s="3" t="s">
        <v>28</v>
      </c>
      <c r="L864" s="3" t="n">
        <v>191</v>
      </c>
      <c r="M864" s="4" t="n">
        <f aca="false">L864*J864</f>
        <v>2387.5</v>
      </c>
      <c r="N864" s="4" t="n">
        <f aca="false">L864*I864</f>
        <v>1146</v>
      </c>
      <c r="O864" s="4" t="n">
        <f aca="false">M864-N864</f>
        <v>1241.5</v>
      </c>
      <c r="P864" s="5" t="n">
        <f aca="false">IFERROR(O864/M864,0)</f>
        <v>0.52</v>
      </c>
    </row>
    <row r="865" customFormat="false" ht="15" hidden="false" customHeight="true" outlineLevel="0" collapsed="false">
      <c r="A865" s="6" t="s">
        <v>92</v>
      </c>
      <c r="B865" s="6" t="s">
        <v>93</v>
      </c>
      <c r="C865" s="6" t="s">
        <v>59</v>
      </c>
      <c r="D865" s="6" t="s">
        <v>94</v>
      </c>
      <c r="E865" s="6" t="s">
        <v>61</v>
      </c>
      <c r="F865" s="6" t="s">
        <v>34</v>
      </c>
      <c r="G865" s="6" t="s">
        <v>35</v>
      </c>
      <c r="H865" s="6" t="s">
        <v>23</v>
      </c>
      <c r="I865" s="7" t="n">
        <v>6</v>
      </c>
      <c r="J865" s="7" t="n">
        <v>12.5</v>
      </c>
      <c r="K865" s="6" t="s">
        <v>29</v>
      </c>
      <c r="L865" s="6" t="n">
        <v>313</v>
      </c>
      <c r="M865" s="7" t="n">
        <f aca="false">L865*J865</f>
        <v>3912.5</v>
      </c>
      <c r="N865" s="7" t="n">
        <f aca="false">L865*I865</f>
        <v>1878</v>
      </c>
      <c r="O865" s="7" t="n">
        <f aca="false">M865-N865</f>
        <v>2034.5</v>
      </c>
      <c r="P865" s="8" t="n">
        <f aca="false">IFERROR(O865/M865,0)</f>
        <v>0.52</v>
      </c>
    </row>
    <row r="866" customFormat="false" ht="15" hidden="false" customHeight="true" outlineLevel="0" collapsed="false">
      <c r="A866" s="3" t="s">
        <v>92</v>
      </c>
      <c r="B866" s="3" t="s">
        <v>93</v>
      </c>
      <c r="C866" s="3" t="s">
        <v>59</v>
      </c>
      <c r="D866" s="3" t="s">
        <v>94</v>
      </c>
      <c r="E866" s="3" t="s">
        <v>61</v>
      </c>
      <c r="F866" s="3" t="s">
        <v>36</v>
      </c>
      <c r="G866" s="3" t="s">
        <v>37</v>
      </c>
      <c r="H866" s="3" t="s">
        <v>23</v>
      </c>
      <c r="I866" s="4" t="n">
        <v>4.5</v>
      </c>
      <c r="J866" s="4" t="n">
        <v>7</v>
      </c>
      <c r="K866" s="3" t="s">
        <v>24</v>
      </c>
      <c r="L866" s="3" t="n">
        <v>259</v>
      </c>
      <c r="M866" s="4" t="n">
        <f aca="false">L866*J866</f>
        <v>1813</v>
      </c>
      <c r="N866" s="4" t="n">
        <f aca="false">L866*I866</f>
        <v>1165.5</v>
      </c>
      <c r="O866" s="4" t="n">
        <f aca="false">M866-N866</f>
        <v>647.5</v>
      </c>
      <c r="P866" s="5" t="n">
        <f aca="false">IFERROR(O866/M866,0)</f>
        <v>0.357142857142857</v>
      </c>
    </row>
    <row r="867" customFormat="false" ht="15" hidden="false" customHeight="true" outlineLevel="0" collapsed="false">
      <c r="A867" s="6" t="s">
        <v>92</v>
      </c>
      <c r="B867" s="6" t="s">
        <v>93</v>
      </c>
      <c r="C867" s="6" t="s">
        <v>59</v>
      </c>
      <c r="D867" s="6" t="s">
        <v>94</v>
      </c>
      <c r="E867" s="6" t="s">
        <v>61</v>
      </c>
      <c r="F867" s="6" t="s">
        <v>36</v>
      </c>
      <c r="G867" s="6" t="s">
        <v>37</v>
      </c>
      <c r="H867" s="6" t="s">
        <v>23</v>
      </c>
      <c r="I867" s="7" t="n">
        <v>4.5</v>
      </c>
      <c r="J867" s="7" t="n">
        <v>7</v>
      </c>
      <c r="K867" s="6" t="s">
        <v>25</v>
      </c>
      <c r="L867" s="6" t="n">
        <v>122</v>
      </c>
      <c r="M867" s="7" t="n">
        <f aca="false">L867*J867</f>
        <v>854</v>
      </c>
      <c r="N867" s="7" t="n">
        <f aca="false">L867*I867</f>
        <v>549</v>
      </c>
      <c r="O867" s="7" t="n">
        <f aca="false">M867-N867</f>
        <v>305</v>
      </c>
      <c r="P867" s="8" t="n">
        <f aca="false">IFERROR(O867/M867,0)</f>
        <v>0.357142857142857</v>
      </c>
    </row>
    <row r="868" customFormat="false" ht="15" hidden="false" customHeight="true" outlineLevel="0" collapsed="false">
      <c r="A868" s="3" t="s">
        <v>92</v>
      </c>
      <c r="B868" s="3" t="s">
        <v>93</v>
      </c>
      <c r="C868" s="3" t="s">
        <v>59</v>
      </c>
      <c r="D868" s="3" t="s">
        <v>94</v>
      </c>
      <c r="E868" s="3" t="s">
        <v>61</v>
      </c>
      <c r="F868" s="3" t="s">
        <v>36</v>
      </c>
      <c r="G868" s="3" t="s">
        <v>37</v>
      </c>
      <c r="H868" s="3" t="s">
        <v>23</v>
      </c>
      <c r="I868" s="4" t="n">
        <v>4.5</v>
      </c>
      <c r="J868" s="4" t="n">
        <v>7</v>
      </c>
      <c r="K868" s="3" t="s">
        <v>26</v>
      </c>
      <c r="L868" s="3" t="n">
        <v>198</v>
      </c>
      <c r="M868" s="4" t="n">
        <f aca="false">L868*J868</f>
        <v>1386</v>
      </c>
      <c r="N868" s="4" t="n">
        <f aca="false">L868*I868</f>
        <v>891</v>
      </c>
      <c r="O868" s="4" t="n">
        <f aca="false">M868-N868</f>
        <v>495</v>
      </c>
      <c r="P868" s="5" t="n">
        <f aca="false">IFERROR(O868/M868,0)</f>
        <v>0.357142857142857</v>
      </c>
    </row>
    <row r="869" customFormat="false" ht="15" hidden="false" customHeight="true" outlineLevel="0" collapsed="false">
      <c r="A869" s="6" t="s">
        <v>92</v>
      </c>
      <c r="B869" s="6" t="s">
        <v>93</v>
      </c>
      <c r="C869" s="6" t="s">
        <v>59</v>
      </c>
      <c r="D869" s="6" t="s">
        <v>94</v>
      </c>
      <c r="E869" s="6" t="s">
        <v>61</v>
      </c>
      <c r="F869" s="6" t="s">
        <v>36</v>
      </c>
      <c r="G869" s="6" t="s">
        <v>37</v>
      </c>
      <c r="H869" s="6" t="s">
        <v>23</v>
      </c>
      <c r="I869" s="7" t="n">
        <v>4.5</v>
      </c>
      <c r="J869" s="7" t="n">
        <v>7</v>
      </c>
      <c r="K869" s="6" t="s">
        <v>27</v>
      </c>
      <c r="L869" s="6" t="n">
        <v>78</v>
      </c>
      <c r="M869" s="7" t="n">
        <f aca="false">L869*J869</f>
        <v>546</v>
      </c>
      <c r="N869" s="7" t="n">
        <f aca="false">L869*I869</f>
        <v>351</v>
      </c>
      <c r="O869" s="7" t="n">
        <f aca="false">M869-N869</f>
        <v>195</v>
      </c>
      <c r="P869" s="8" t="n">
        <f aca="false">IFERROR(O869/M869,0)</f>
        <v>0.357142857142857</v>
      </c>
    </row>
    <row r="870" customFormat="false" ht="15" hidden="false" customHeight="true" outlineLevel="0" collapsed="false">
      <c r="A870" s="3" t="s">
        <v>92</v>
      </c>
      <c r="B870" s="3" t="s">
        <v>93</v>
      </c>
      <c r="C870" s="3" t="s">
        <v>59</v>
      </c>
      <c r="D870" s="3" t="s">
        <v>94</v>
      </c>
      <c r="E870" s="3" t="s">
        <v>61</v>
      </c>
      <c r="F870" s="3" t="s">
        <v>36</v>
      </c>
      <c r="G870" s="3" t="s">
        <v>37</v>
      </c>
      <c r="H870" s="3" t="s">
        <v>23</v>
      </c>
      <c r="I870" s="4" t="n">
        <v>4.5</v>
      </c>
      <c r="J870" s="4" t="n">
        <v>7</v>
      </c>
      <c r="K870" s="3" t="s">
        <v>28</v>
      </c>
      <c r="L870" s="3" t="n">
        <v>235</v>
      </c>
      <c r="M870" s="4" t="n">
        <f aca="false">L870*J870</f>
        <v>1645</v>
      </c>
      <c r="N870" s="4" t="n">
        <f aca="false">L870*I870</f>
        <v>1057.5</v>
      </c>
      <c r="O870" s="4" t="n">
        <f aca="false">M870-N870</f>
        <v>587.5</v>
      </c>
      <c r="P870" s="5" t="n">
        <f aca="false">IFERROR(O870/M870,0)</f>
        <v>0.357142857142857</v>
      </c>
    </row>
    <row r="871" customFormat="false" ht="15" hidden="false" customHeight="true" outlineLevel="0" collapsed="false">
      <c r="A871" s="6" t="s">
        <v>92</v>
      </c>
      <c r="B871" s="6" t="s">
        <v>93</v>
      </c>
      <c r="C871" s="6" t="s">
        <v>59</v>
      </c>
      <c r="D871" s="6" t="s">
        <v>94</v>
      </c>
      <c r="E871" s="6" t="s">
        <v>61</v>
      </c>
      <c r="F871" s="6" t="s">
        <v>36</v>
      </c>
      <c r="G871" s="6" t="s">
        <v>37</v>
      </c>
      <c r="H871" s="6" t="s">
        <v>23</v>
      </c>
      <c r="I871" s="7" t="n">
        <v>4.5</v>
      </c>
      <c r="J871" s="7" t="n">
        <v>7</v>
      </c>
      <c r="K871" s="6" t="s">
        <v>29</v>
      </c>
      <c r="L871" s="6" t="n">
        <v>245</v>
      </c>
      <c r="M871" s="7" t="n">
        <f aca="false">L871*J871</f>
        <v>1715</v>
      </c>
      <c r="N871" s="7" t="n">
        <f aca="false">L871*I871</f>
        <v>1102.5</v>
      </c>
      <c r="O871" s="7" t="n">
        <f aca="false">M871-N871</f>
        <v>612.5</v>
      </c>
      <c r="P871" s="8" t="n">
        <f aca="false">IFERROR(O871/M871,0)</f>
        <v>0.357142857142857</v>
      </c>
    </row>
    <row r="872" customFormat="false" ht="15" hidden="false" customHeight="true" outlineLevel="0" collapsed="false">
      <c r="A872" s="3" t="s">
        <v>92</v>
      </c>
      <c r="B872" s="3" t="s">
        <v>93</v>
      </c>
      <c r="C872" s="3" t="s">
        <v>59</v>
      </c>
      <c r="D872" s="3" t="s">
        <v>94</v>
      </c>
      <c r="E872" s="3" t="s">
        <v>61</v>
      </c>
      <c r="F872" s="3" t="s">
        <v>38</v>
      </c>
      <c r="G872" s="3" t="s">
        <v>39</v>
      </c>
      <c r="H872" s="3" t="s">
        <v>23</v>
      </c>
      <c r="I872" s="4" t="n">
        <v>9.9</v>
      </c>
      <c r="J872" s="4" t="n">
        <v>18</v>
      </c>
      <c r="K872" s="3" t="s">
        <v>24</v>
      </c>
      <c r="L872" s="3" t="n">
        <v>243</v>
      </c>
      <c r="M872" s="4" t="n">
        <f aca="false">L872*J872</f>
        <v>4374</v>
      </c>
      <c r="N872" s="4" t="n">
        <f aca="false">L872*I872</f>
        <v>2405.7</v>
      </c>
      <c r="O872" s="4" t="n">
        <f aca="false">M872-N872</f>
        <v>1968.3</v>
      </c>
      <c r="P872" s="5" t="n">
        <f aca="false">IFERROR(O872/M872,0)</f>
        <v>0.45</v>
      </c>
    </row>
    <row r="873" customFormat="false" ht="15" hidden="false" customHeight="true" outlineLevel="0" collapsed="false">
      <c r="A873" s="6" t="s">
        <v>92</v>
      </c>
      <c r="B873" s="6" t="s">
        <v>93</v>
      </c>
      <c r="C873" s="6" t="s">
        <v>59</v>
      </c>
      <c r="D873" s="6" t="s">
        <v>94</v>
      </c>
      <c r="E873" s="6" t="s">
        <v>61</v>
      </c>
      <c r="F873" s="6" t="s">
        <v>38</v>
      </c>
      <c r="G873" s="6" t="s">
        <v>39</v>
      </c>
      <c r="H873" s="6" t="s">
        <v>23</v>
      </c>
      <c r="I873" s="7" t="n">
        <v>9.9</v>
      </c>
      <c r="J873" s="7" t="n">
        <v>18</v>
      </c>
      <c r="K873" s="6" t="s">
        <v>25</v>
      </c>
      <c r="L873" s="6" t="n">
        <v>245</v>
      </c>
      <c r="M873" s="7" t="n">
        <f aca="false">L873*J873</f>
        <v>4410</v>
      </c>
      <c r="N873" s="7" t="n">
        <f aca="false">L873*I873</f>
        <v>2425.5</v>
      </c>
      <c r="O873" s="7" t="n">
        <f aca="false">M873-N873</f>
        <v>1984.5</v>
      </c>
      <c r="P873" s="8" t="n">
        <f aca="false">IFERROR(O873/M873,0)</f>
        <v>0.45</v>
      </c>
    </row>
    <row r="874" customFormat="false" ht="15" hidden="false" customHeight="true" outlineLevel="0" collapsed="false">
      <c r="A874" s="3" t="s">
        <v>92</v>
      </c>
      <c r="B874" s="3" t="s">
        <v>93</v>
      </c>
      <c r="C874" s="3" t="s">
        <v>59</v>
      </c>
      <c r="D874" s="3" t="s">
        <v>94</v>
      </c>
      <c r="E874" s="3" t="s">
        <v>61</v>
      </c>
      <c r="F874" s="3" t="s">
        <v>38</v>
      </c>
      <c r="G874" s="3" t="s">
        <v>39</v>
      </c>
      <c r="H874" s="3" t="s">
        <v>23</v>
      </c>
      <c r="I874" s="4" t="n">
        <v>9.9</v>
      </c>
      <c r="J874" s="4" t="n">
        <v>18</v>
      </c>
      <c r="K874" s="3" t="s">
        <v>26</v>
      </c>
      <c r="L874" s="3" t="n">
        <v>274</v>
      </c>
      <c r="M874" s="4" t="n">
        <f aca="false">L874*J874</f>
        <v>4932</v>
      </c>
      <c r="N874" s="4" t="n">
        <f aca="false">L874*I874</f>
        <v>2712.6</v>
      </c>
      <c r="O874" s="4" t="n">
        <f aca="false">M874-N874</f>
        <v>2219.4</v>
      </c>
      <c r="P874" s="5" t="n">
        <f aca="false">IFERROR(O874/M874,0)</f>
        <v>0.45</v>
      </c>
    </row>
    <row r="875" customFormat="false" ht="15" hidden="false" customHeight="true" outlineLevel="0" collapsed="false">
      <c r="A875" s="6" t="s">
        <v>92</v>
      </c>
      <c r="B875" s="6" t="s">
        <v>93</v>
      </c>
      <c r="C875" s="6" t="s">
        <v>59</v>
      </c>
      <c r="D875" s="6" t="s">
        <v>94</v>
      </c>
      <c r="E875" s="6" t="s">
        <v>61</v>
      </c>
      <c r="F875" s="6" t="s">
        <v>38</v>
      </c>
      <c r="G875" s="6" t="s">
        <v>39</v>
      </c>
      <c r="H875" s="6" t="s">
        <v>23</v>
      </c>
      <c r="I875" s="7" t="n">
        <v>9.9</v>
      </c>
      <c r="J875" s="7" t="n">
        <v>18</v>
      </c>
      <c r="K875" s="6" t="s">
        <v>27</v>
      </c>
      <c r="L875" s="6" t="n">
        <v>229</v>
      </c>
      <c r="M875" s="7" t="n">
        <f aca="false">L875*J875</f>
        <v>4122</v>
      </c>
      <c r="N875" s="7" t="n">
        <f aca="false">L875*I875</f>
        <v>2267.1</v>
      </c>
      <c r="O875" s="7" t="n">
        <f aca="false">M875-N875</f>
        <v>1854.9</v>
      </c>
      <c r="P875" s="8" t="n">
        <f aca="false">IFERROR(O875/M875,0)</f>
        <v>0.45</v>
      </c>
    </row>
    <row r="876" customFormat="false" ht="15" hidden="false" customHeight="true" outlineLevel="0" collapsed="false">
      <c r="A876" s="3" t="s">
        <v>92</v>
      </c>
      <c r="B876" s="3" t="s">
        <v>93</v>
      </c>
      <c r="C876" s="3" t="s">
        <v>59</v>
      </c>
      <c r="D876" s="3" t="s">
        <v>94</v>
      </c>
      <c r="E876" s="3" t="s">
        <v>61</v>
      </c>
      <c r="F876" s="3" t="s">
        <v>38</v>
      </c>
      <c r="G876" s="3" t="s">
        <v>39</v>
      </c>
      <c r="H876" s="3" t="s">
        <v>23</v>
      </c>
      <c r="I876" s="4" t="n">
        <v>9.9</v>
      </c>
      <c r="J876" s="4" t="n">
        <v>18</v>
      </c>
      <c r="K876" s="3" t="s">
        <v>28</v>
      </c>
      <c r="L876" s="3" t="n">
        <v>300</v>
      </c>
      <c r="M876" s="4" t="n">
        <f aca="false">L876*J876</f>
        <v>5400</v>
      </c>
      <c r="N876" s="4" t="n">
        <f aca="false">L876*I876</f>
        <v>2970</v>
      </c>
      <c r="O876" s="4" t="n">
        <f aca="false">M876-N876</f>
        <v>2430</v>
      </c>
      <c r="P876" s="5" t="n">
        <f aca="false">IFERROR(O876/M876,0)</f>
        <v>0.45</v>
      </c>
    </row>
    <row r="877" customFormat="false" ht="15" hidden="false" customHeight="true" outlineLevel="0" collapsed="false">
      <c r="A877" s="6" t="s">
        <v>92</v>
      </c>
      <c r="B877" s="6" t="s">
        <v>93</v>
      </c>
      <c r="C877" s="6" t="s">
        <v>59</v>
      </c>
      <c r="D877" s="6" t="s">
        <v>94</v>
      </c>
      <c r="E877" s="6" t="s">
        <v>61</v>
      </c>
      <c r="F877" s="6" t="s">
        <v>38</v>
      </c>
      <c r="G877" s="6" t="s">
        <v>39</v>
      </c>
      <c r="H877" s="6" t="s">
        <v>23</v>
      </c>
      <c r="I877" s="7" t="n">
        <v>9.9</v>
      </c>
      <c r="J877" s="7" t="n">
        <v>18</v>
      </c>
      <c r="K877" s="6" t="s">
        <v>29</v>
      </c>
      <c r="L877" s="6" t="n">
        <v>68</v>
      </c>
      <c r="M877" s="7" t="n">
        <f aca="false">L877*J877</f>
        <v>1224</v>
      </c>
      <c r="N877" s="7" t="n">
        <f aca="false">L877*I877</f>
        <v>673.2</v>
      </c>
      <c r="O877" s="7" t="n">
        <f aca="false">M877-N877</f>
        <v>550.8</v>
      </c>
      <c r="P877" s="8" t="n">
        <f aca="false">IFERROR(O877/M877,0)</f>
        <v>0.45</v>
      </c>
    </row>
    <row r="878" customFormat="false" ht="15" hidden="false" customHeight="true" outlineLevel="0" collapsed="false">
      <c r="A878" s="3" t="s">
        <v>92</v>
      </c>
      <c r="B878" s="3" t="s">
        <v>93</v>
      </c>
      <c r="C878" s="3" t="s">
        <v>59</v>
      </c>
      <c r="D878" s="3" t="s">
        <v>94</v>
      </c>
      <c r="E878" s="3" t="s">
        <v>61</v>
      </c>
      <c r="F878" s="3" t="s">
        <v>40</v>
      </c>
      <c r="G878" s="3" t="s">
        <v>41</v>
      </c>
      <c r="H878" s="3" t="s">
        <v>42</v>
      </c>
      <c r="I878" s="4" t="n">
        <v>3.5</v>
      </c>
      <c r="J878" s="4" t="n">
        <v>6.5</v>
      </c>
      <c r="K878" s="3" t="s">
        <v>24</v>
      </c>
      <c r="L878" s="3" t="n">
        <v>238</v>
      </c>
      <c r="M878" s="4" t="n">
        <f aca="false">L878*J878</f>
        <v>1547</v>
      </c>
      <c r="N878" s="4" t="n">
        <f aca="false">L878*I878</f>
        <v>833</v>
      </c>
      <c r="O878" s="4" t="n">
        <f aca="false">M878-N878</f>
        <v>714</v>
      </c>
      <c r="P878" s="5" t="n">
        <f aca="false">IFERROR(O878/M878,0)</f>
        <v>0.461538461538462</v>
      </c>
    </row>
    <row r="879" customFormat="false" ht="15" hidden="false" customHeight="true" outlineLevel="0" collapsed="false">
      <c r="A879" s="6" t="s">
        <v>92</v>
      </c>
      <c r="B879" s="6" t="s">
        <v>93</v>
      </c>
      <c r="C879" s="6" t="s">
        <v>59</v>
      </c>
      <c r="D879" s="6" t="s">
        <v>94</v>
      </c>
      <c r="E879" s="6" t="s">
        <v>61</v>
      </c>
      <c r="F879" s="6" t="s">
        <v>40</v>
      </c>
      <c r="G879" s="6" t="s">
        <v>41</v>
      </c>
      <c r="H879" s="6" t="s">
        <v>42</v>
      </c>
      <c r="I879" s="7" t="n">
        <v>3.5</v>
      </c>
      <c r="J879" s="7" t="n">
        <v>6.5</v>
      </c>
      <c r="K879" s="6" t="s">
        <v>25</v>
      </c>
      <c r="L879" s="6" t="n">
        <v>272</v>
      </c>
      <c r="M879" s="7" t="n">
        <f aca="false">L879*J879</f>
        <v>1768</v>
      </c>
      <c r="N879" s="7" t="n">
        <f aca="false">L879*I879</f>
        <v>952</v>
      </c>
      <c r="O879" s="7" t="n">
        <f aca="false">M879-N879</f>
        <v>816</v>
      </c>
      <c r="P879" s="8" t="n">
        <f aca="false">IFERROR(O879/M879,0)</f>
        <v>0.461538461538462</v>
      </c>
    </row>
    <row r="880" customFormat="false" ht="15" hidden="false" customHeight="true" outlineLevel="0" collapsed="false">
      <c r="A880" s="3" t="s">
        <v>92</v>
      </c>
      <c r="B880" s="3" t="s">
        <v>93</v>
      </c>
      <c r="C880" s="3" t="s">
        <v>59</v>
      </c>
      <c r="D880" s="3" t="s">
        <v>94</v>
      </c>
      <c r="E880" s="3" t="s">
        <v>61</v>
      </c>
      <c r="F880" s="3" t="s">
        <v>40</v>
      </c>
      <c r="G880" s="3" t="s">
        <v>41</v>
      </c>
      <c r="H880" s="3" t="s">
        <v>42</v>
      </c>
      <c r="I880" s="4" t="n">
        <v>3.5</v>
      </c>
      <c r="J880" s="4" t="n">
        <v>6.5</v>
      </c>
      <c r="K880" s="3" t="s">
        <v>26</v>
      </c>
      <c r="L880" s="3" t="n">
        <v>43</v>
      </c>
      <c r="M880" s="4" t="n">
        <f aca="false">L880*J880</f>
        <v>279.5</v>
      </c>
      <c r="N880" s="4" t="n">
        <f aca="false">L880*I880</f>
        <v>150.5</v>
      </c>
      <c r="O880" s="4" t="n">
        <f aca="false">M880-N880</f>
        <v>129</v>
      </c>
      <c r="P880" s="5" t="n">
        <f aca="false">IFERROR(O880/M880,0)</f>
        <v>0.461538461538462</v>
      </c>
    </row>
    <row r="881" customFormat="false" ht="15" hidden="false" customHeight="true" outlineLevel="0" collapsed="false">
      <c r="A881" s="6" t="s">
        <v>92</v>
      </c>
      <c r="B881" s="6" t="s">
        <v>93</v>
      </c>
      <c r="C881" s="6" t="s">
        <v>59</v>
      </c>
      <c r="D881" s="6" t="s">
        <v>94</v>
      </c>
      <c r="E881" s="6" t="s">
        <v>61</v>
      </c>
      <c r="F881" s="6" t="s">
        <v>40</v>
      </c>
      <c r="G881" s="6" t="s">
        <v>41</v>
      </c>
      <c r="H881" s="6" t="s">
        <v>42</v>
      </c>
      <c r="I881" s="7" t="n">
        <v>3.5</v>
      </c>
      <c r="J881" s="7" t="n">
        <v>6.5</v>
      </c>
      <c r="K881" s="6" t="s">
        <v>27</v>
      </c>
      <c r="L881" s="6" t="n">
        <v>257</v>
      </c>
      <c r="M881" s="7" t="n">
        <f aca="false">L881*J881</f>
        <v>1670.5</v>
      </c>
      <c r="N881" s="7" t="n">
        <f aca="false">L881*I881</f>
        <v>899.5</v>
      </c>
      <c r="O881" s="7" t="n">
        <f aca="false">M881-N881</f>
        <v>771</v>
      </c>
      <c r="P881" s="8" t="n">
        <f aca="false">IFERROR(O881/M881,0)</f>
        <v>0.461538461538462</v>
      </c>
    </row>
    <row r="882" customFormat="false" ht="15" hidden="false" customHeight="true" outlineLevel="0" collapsed="false">
      <c r="A882" s="3" t="s">
        <v>92</v>
      </c>
      <c r="B882" s="3" t="s">
        <v>93</v>
      </c>
      <c r="C882" s="3" t="s">
        <v>59</v>
      </c>
      <c r="D882" s="3" t="s">
        <v>94</v>
      </c>
      <c r="E882" s="3" t="s">
        <v>61</v>
      </c>
      <c r="F882" s="3" t="s">
        <v>40</v>
      </c>
      <c r="G882" s="3" t="s">
        <v>41</v>
      </c>
      <c r="H882" s="3" t="s">
        <v>42</v>
      </c>
      <c r="I882" s="4" t="n">
        <v>3.5</v>
      </c>
      <c r="J882" s="4" t="n">
        <v>6.5</v>
      </c>
      <c r="K882" s="3" t="s">
        <v>28</v>
      </c>
      <c r="L882" s="3" t="n">
        <v>104</v>
      </c>
      <c r="M882" s="4" t="n">
        <f aca="false">L882*J882</f>
        <v>676</v>
      </c>
      <c r="N882" s="4" t="n">
        <f aca="false">L882*I882</f>
        <v>364</v>
      </c>
      <c r="O882" s="4" t="n">
        <f aca="false">M882-N882</f>
        <v>312</v>
      </c>
      <c r="P882" s="5" t="n">
        <f aca="false">IFERROR(O882/M882,0)</f>
        <v>0.461538461538462</v>
      </c>
    </row>
    <row r="883" customFormat="false" ht="15" hidden="false" customHeight="true" outlineLevel="0" collapsed="false">
      <c r="A883" s="6" t="s">
        <v>92</v>
      </c>
      <c r="B883" s="6" t="s">
        <v>93</v>
      </c>
      <c r="C883" s="6" t="s">
        <v>59</v>
      </c>
      <c r="D883" s="6" t="s">
        <v>94</v>
      </c>
      <c r="E883" s="6" t="s">
        <v>61</v>
      </c>
      <c r="F883" s="6" t="s">
        <v>40</v>
      </c>
      <c r="G883" s="6" t="s">
        <v>41</v>
      </c>
      <c r="H883" s="6" t="s">
        <v>42</v>
      </c>
      <c r="I883" s="7" t="n">
        <v>3.5</v>
      </c>
      <c r="J883" s="7" t="n">
        <v>6.5</v>
      </c>
      <c r="K883" s="6" t="s">
        <v>29</v>
      </c>
      <c r="L883" s="6" t="n">
        <v>205</v>
      </c>
      <c r="M883" s="7" t="n">
        <f aca="false">L883*J883</f>
        <v>1332.5</v>
      </c>
      <c r="N883" s="7" t="n">
        <f aca="false">L883*I883</f>
        <v>717.5</v>
      </c>
      <c r="O883" s="7" t="n">
        <f aca="false">M883-N883</f>
        <v>615</v>
      </c>
      <c r="P883" s="8" t="n">
        <f aca="false">IFERROR(O883/M883,0)</f>
        <v>0.461538461538462</v>
      </c>
    </row>
    <row r="884" customFormat="false" ht="15" hidden="false" customHeight="true" outlineLevel="0" collapsed="false">
      <c r="A884" s="3" t="s">
        <v>92</v>
      </c>
      <c r="B884" s="3" t="s">
        <v>93</v>
      </c>
      <c r="C884" s="3" t="s">
        <v>59</v>
      </c>
      <c r="D884" s="3" t="s">
        <v>94</v>
      </c>
      <c r="E884" s="3" t="s">
        <v>61</v>
      </c>
      <c r="F884" s="3" t="s">
        <v>43</v>
      </c>
      <c r="G884" s="3" t="s">
        <v>44</v>
      </c>
      <c r="H884" s="3" t="s">
        <v>42</v>
      </c>
      <c r="I884" s="4" t="n">
        <v>2</v>
      </c>
      <c r="J884" s="4" t="n">
        <v>3.8</v>
      </c>
      <c r="K884" s="3" t="s">
        <v>24</v>
      </c>
      <c r="L884" s="3" t="n">
        <v>218</v>
      </c>
      <c r="M884" s="4" t="n">
        <f aca="false">L884*J884</f>
        <v>828.4</v>
      </c>
      <c r="N884" s="4" t="n">
        <f aca="false">L884*I884</f>
        <v>436</v>
      </c>
      <c r="O884" s="4" t="n">
        <f aca="false">M884-N884</f>
        <v>392.4</v>
      </c>
      <c r="P884" s="5" t="n">
        <f aca="false">IFERROR(O884/M884,0)</f>
        <v>0.473684210526316</v>
      </c>
    </row>
    <row r="885" customFormat="false" ht="15" hidden="false" customHeight="true" outlineLevel="0" collapsed="false">
      <c r="A885" s="6" t="s">
        <v>92</v>
      </c>
      <c r="B885" s="6" t="s">
        <v>93</v>
      </c>
      <c r="C885" s="6" t="s">
        <v>59</v>
      </c>
      <c r="D885" s="6" t="s">
        <v>94</v>
      </c>
      <c r="E885" s="6" t="s">
        <v>61</v>
      </c>
      <c r="F885" s="6" t="s">
        <v>43</v>
      </c>
      <c r="G885" s="6" t="s">
        <v>44</v>
      </c>
      <c r="H885" s="6" t="s">
        <v>42</v>
      </c>
      <c r="I885" s="7" t="n">
        <v>2</v>
      </c>
      <c r="J885" s="7" t="n">
        <v>3.8</v>
      </c>
      <c r="K885" s="6" t="s">
        <v>25</v>
      </c>
      <c r="L885" s="6" t="n">
        <v>222</v>
      </c>
      <c r="M885" s="7" t="n">
        <f aca="false">L885*J885</f>
        <v>843.6</v>
      </c>
      <c r="N885" s="7" t="n">
        <f aca="false">L885*I885</f>
        <v>444</v>
      </c>
      <c r="O885" s="7" t="n">
        <f aca="false">M885-N885</f>
        <v>399.6</v>
      </c>
      <c r="P885" s="8" t="n">
        <f aca="false">IFERROR(O885/M885,0)</f>
        <v>0.473684210526316</v>
      </c>
    </row>
    <row r="886" customFormat="false" ht="15" hidden="false" customHeight="true" outlineLevel="0" collapsed="false">
      <c r="A886" s="3" t="s">
        <v>92</v>
      </c>
      <c r="B886" s="3" t="s">
        <v>93</v>
      </c>
      <c r="C886" s="3" t="s">
        <v>59</v>
      </c>
      <c r="D886" s="3" t="s">
        <v>94</v>
      </c>
      <c r="E886" s="3" t="s">
        <v>61</v>
      </c>
      <c r="F886" s="3" t="s">
        <v>43</v>
      </c>
      <c r="G886" s="3" t="s">
        <v>44</v>
      </c>
      <c r="H886" s="3" t="s">
        <v>42</v>
      </c>
      <c r="I886" s="4" t="n">
        <v>2</v>
      </c>
      <c r="J886" s="4" t="n">
        <v>3.8</v>
      </c>
      <c r="K886" s="3" t="s">
        <v>26</v>
      </c>
      <c r="L886" s="3" t="n">
        <v>59</v>
      </c>
      <c r="M886" s="4" t="n">
        <f aca="false">L886*J886</f>
        <v>224.2</v>
      </c>
      <c r="N886" s="4" t="n">
        <f aca="false">L886*I886</f>
        <v>118</v>
      </c>
      <c r="O886" s="4" t="n">
        <f aca="false">M886-N886</f>
        <v>106.2</v>
      </c>
      <c r="P886" s="5" t="n">
        <f aca="false">IFERROR(O886/M886,0)</f>
        <v>0.473684210526316</v>
      </c>
    </row>
    <row r="887" customFormat="false" ht="15" hidden="false" customHeight="true" outlineLevel="0" collapsed="false">
      <c r="A887" s="6" t="s">
        <v>92</v>
      </c>
      <c r="B887" s="6" t="s">
        <v>93</v>
      </c>
      <c r="C887" s="6" t="s">
        <v>59</v>
      </c>
      <c r="D887" s="6" t="s">
        <v>94</v>
      </c>
      <c r="E887" s="6" t="s">
        <v>61</v>
      </c>
      <c r="F887" s="6" t="s">
        <v>43</v>
      </c>
      <c r="G887" s="6" t="s">
        <v>44</v>
      </c>
      <c r="H887" s="6" t="s">
        <v>42</v>
      </c>
      <c r="I887" s="7" t="n">
        <v>2</v>
      </c>
      <c r="J887" s="7" t="n">
        <v>3.8</v>
      </c>
      <c r="K887" s="6" t="s">
        <v>27</v>
      </c>
      <c r="L887" s="6" t="n">
        <v>117</v>
      </c>
      <c r="M887" s="7" t="n">
        <f aca="false">L887*J887</f>
        <v>444.6</v>
      </c>
      <c r="N887" s="7" t="n">
        <f aca="false">L887*I887</f>
        <v>234</v>
      </c>
      <c r="O887" s="7" t="n">
        <f aca="false">M887-N887</f>
        <v>210.6</v>
      </c>
      <c r="P887" s="8" t="n">
        <f aca="false">IFERROR(O887/M887,0)</f>
        <v>0.473684210526316</v>
      </c>
    </row>
    <row r="888" customFormat="false" ht="15" hidden="false" customHeight="true" outlineLevel="0" collapsed="false">
      <c r="A888" s="3" t="s">
        <v>92</v>
      </c>
      <c r="B888" s="3" t="s">
        <v>93</v>
      </c>
      <c r="C888" s="3" t="s">
        <v>59</v>
      </c>
      <c r="D888" s="3" t="s">
        <v>94</v>
      </c>
      <c r="E888" s="3" t="s">
        <v>61</v>
      </c>
      <c r="F888" s="3" t="s">
        <v>43</v>
      </c>
      <c r="G888" s="3" t="s">
        <v>44</v>
      </c>
      <c r="H888" s="3" t="s">
        <v>42</v>
      </c>
      <c r="I888" s="4" t="n">
        <v>2</v>
      </c>
      <c r="J888" s="4" t="n">
        <v>3.8</v>
      </c>
      <c r="K888" s="3" t="s">
        <v>28</v>
      </c>
      <c r="L888" s="3" t="n">
        <v>263</v>
      </c>
      <c r="M888" s="4" t="n">
        <f aca="false">L888*J888</f>
        <v>999.4</v>
      </c>
      <c r="N888" s="4" t="n">
        <f aca="false">L888*I888</f>
        <v>526</v>
      </c>
      <c r="O888" s="4" t="n">
        <f aca="false">M888-N888</f>
        <v>473.4</v>
      </c>
      <c r="P888" s="5" t="n">
        <f aca="false">IFERROR(O888/M888,0)</f>
        <v>0.473684210526316</v>
      </c>
    </row>
    <row r="889" customFormat="false" ht="15" hidden="false" customHeight="true" outlineLevel="0" collapsed="false">
      <c r="A889" s="6" t="s">
        <v>92</v>
      </c>
      <c r="B889" s="6" t="s">
        <v>93</v>
      </c>
      <c r="C889" s="6" t="s">
        <v>59</v>
      </c>
      <c r="D889" s="6" t="s">
        <v>94</v>
      </c>
      <c r="E889" s="6" t="s">
        <v>61</v>
      </c>
      <c r="F889" s="6" t="s">
        <v>43</v>
      </c>
      <c r="G889" s="6" t="s">
        <v>44</v>
      </c>
      <c r="H889" s="6" t="s">
        <v>42</v>
      </c>
      <c r="I889" s="7" t="n">
        <v>2</v>
      </c>
      <c r="J889" s="7" t="n">
        <v>3.8</v>
      </c>
      <c r="K889" s="6" t="s">
        <v>29</v>
      </c>
      <c r="L889" s="6" t="n">
        <v>326</v>
      </c>
      <c r="M889" s="7" t="n">
        <f aca="false">L889*J889</f>
        <v>1238.8</v>
      </c>
      <c r="N889" s="7" t="n">
        <f aca="false">L889*I889</f>
        <v>652</v>
      </c>
      <c r="O889" s="7" t="n">
        <f aca="false">M889-N889</f>
        <v>586.8</v>
      </c>
      <c r="P889" s="8" t="n">
        <f aca="false">IFERROR(O889/M889,0)</f>
        <v>0.473684210526316</v>
      </c>
    </row>
    <row r="890" customFormat="false" ht="15" hidden="false" customHeight="true" outlineLevel="0" collapsed="false">
      <c r="A890" s="3" t="s">
        <v>92</v>
      </c>
      <c r="B890" s="3" t="s">
        <v>93</v>
      </c>
      <c r="C890" s="3" t="s">
        <v>59</v>
      </c>
      <c r="D890" s="3" t="s">
        <v>94</v>
      </c>
      <c r="E890" s="3" t="s">
        <v>61</v>
      </c>
      <c r="F890" s="3" t="s">
        <v>45</v>
      </c>
      <c r="G890" s="3" t="s">
        <v>46</v>
      </c>
      <c r="H890" s="3" t="s">
        <v>42</v>
      </c>
      <c r="I890" s="4" t="n">
        <v>5</v>
      </c>
      <c r="J890" s="4" t="n">
        <v>10</v>
      </c>
      <c r="K890" s="3" t="s">
        <v>24</v>
      </c>
      <c r="L890" s="3" t="n">
        <v>106</v>
      </c>
      <c r="M890" s="4" t="n">
        <f aca="false">L890*J890</f>
        <v>1060</v>
      </c>
      <c r="N890" s="4" t="n">
        <f aca="false">L890*I890</f>
        <v>530</v>
      </c>
      <c r="O890" s="4" t="n">
        <f aca="false">M890-N890</f>
        <v>530</v>
      </c>
      <c r="P890" s="5" t="n">
        <f aca="false">IFERROR(O890/M890,0)</f>
        <v>0.5</v>
      </c>
    </row>
    <row r="891" customFormat="false" ht="15" hidden="false" customHeight="true" outlineLevel="0" collapsed="false">
      <c r="A891" s="6" t="s">
        <v>92</v>
      </c>
      <c r="B891" s="6" t="s">
        <v>93</v>
      </c>
      <c r="C891" s="6" t="s">
        <v>59</v>
      </c>
      <c r="D891" s="6" t="s">
        <v>94</v>
      </c>
      <c r="E891" s="6" t="s">
        <v>61</v>
      </c>
      <c r="F891" s="6" t="s">
        <v>45</v>
      </c>
      <c r="G891" s="6" t="s">
        <v>46</v>
      </c>
      <c r="H891" s="6" t="s">
        <v>42</v>
      </c>
      <c r="I891" s="7" t="n">
        <v>5</v>
      </c>
      <c r="J891" s="7" t="n">
        <v>10</v>
      </c>
      <c r="K891" s="6" t="s">
        <v>25</v>
      </c>
      <c r="L891" s="6" t="n">
        <v>208</v>
      </c>
      <c r="M891" s="7" t="n">
        <f aca="false">L891*J891</f>
        <v>2080</v>
      </c>
      <c r="N891" s="7" t="n">
        <f aca="false">L891*I891</f>
        <v>1040</v>
      </c>
      <c r="O891" s="7" t="n">
        <f aca="false">M891-N891</f>
        <v>1040</v>
      </c>
      <c r="P891" s="8" t="n">
        <f aca="false">IFERROR(O891/M891,0)</f>
        <v>0.5</v>
      </c>
    </row>
    <row r="892" customFormat="false" ht="15" hidden="false" customHeight="true" outlineLevel="0" collapsed="false">
      <c r="A892" s="3" t="s">
        <v>92</v>
      </c>
      <c r="B892" s="3" t="s">
        <v>93</v>
      </c>
      <c r="C892" s="3" t="s">
        <v>59</v>
      </c>
      <c r="D892" s="3" t="s">
        <v>94</v>
      </c>
      <c r="E892" s="3" t="s">
        <v>61</v>
      </c>
      <c r="F892" s="3" t="s">
        <v>45</v>
      </c>
      <c r="G892" s="3" t="s">
        <v>46</v>
      </c>
      <c r="H892" s="3" t="s">
        <v>42</v>
      </c>
      <c r="I892" s="4" t="n">
        <v>5</v>
      </c>
      <c r="J892" s="4" t="n">
        <v>10</v>
      </c>
      <c r="K892" s="3" t="s">
        <v>26</v>
      </c>
      <c r="L892" s="3" t="n">
        <v>219</v>
      </c>
      <c r="M892" s="4" t="n">
        <f aca="false">L892*J892</f>
        <v>2190</v>
      </c>
      <c r="N892" s="4" t="n">
        <f aca="false">L892*I892</f>
        <v>1095</v>
      </c>
      <c r="O892" s="4" t="n">
        <f aca="false">M892-N892</f>
        <v>1095</v>
      </c>
      <c r="P892" s="5" t="n">
        <f aca="false">IFERROR(O892/M892,0)</f>
        <v>0.5</v>
      </c>
    </row>
    <row r="893" customFormat="false" ht="15" hidden="false" customHeight="true" outlineLevel="0" collapsed="false">
      <c r="A893" s="6" t="s">
        <v>92</v>
      </c>
      <c r="B893" s="6" t="s">
        <v>93</v>
      </c>
      <c r="C893" s="6" t="s">
        <v>59</v>
      </c>
      <c r="D893" s="6" t="s">
        <v>94</v>
      </c>
      <c r="E893" s="6" t="s">
        <v>61</v>
      </c>
      <c r="F893" s="6" t="s">
        <v>45</v>
      </c>
      <c r="G893" s="6" t="s">
        <v>46</v>
      </c>
      <c r="H893" s="6" t="s">
        <v>42</v>
      </c>
      <c r="I893" s="7" t="n">
        <v>5</v>
      </c>
      <c r="J893" s="7" t="n">
        <v>10</v>
      </c>
      <c r="K893" s="6" t="s">
        <v>27</v>
      </c>
      <c r="L893" s="6" t="n">
        <v>177</v>
      </c>
      <c r="M893" s="7" t="n">
        <f aca="false">L893*J893</f>
        <v>1770</v>
      </c>
      <c r="N893" s="7" t="n">
        <f aca="false">L893*I893</f>
        <v>885</v>
      </c>
      <c r="O893" s="7" t="n">
        <f aca="false">M893-N893</f>
        <v>885</v>
      </c>
      <c r="P893" s="8" t="n">
        <f aca="false">IFERROR(O893/M893,0)</f>
        <v>0.5</v>
      </c>
    </row>
    <row r="894" customFormat="false" ht="15" hidden="false" customHeight="true" outlineLevel="0" collapsed="false">
      <c r="A894" s="3" t="s">
        <v>92</v>
      </c>
      <c r="B894" s="3" t="s">
        <v>93</v>
      </c>
      <c r="C894" s="3" t="s">
        <v>59</v>
      </c>
      <c r="D894" s="3" t="s">
        <v>94</v>
      </c>
      <c r="E894" s="3" t="s">
        <v>61</v>
      </c>
      <c r="F894" s="3" t="s">
        <v>45</v>
      </c>
      <c r="G894" s="3" t="s">
        <v>46</v>
      </c>
      <c r="H894" s="3" t="s">
        <v>42</v>
      </c>
      <c r="I894" s="4" t="n">
        <v>5</v>
      </c>
      <c r="J894" s="4" t="n">
        <v>10</v>
      </c>
      <c r="K894" s="3" t="s">
        <v>28</v>
      </c>
      <c r="L894" s="3" t="n">
        <v>95</v>
      </c>
      <c r="M894" s="4" t="n">
        <f aca="false">L894*J894</f>
        <v>950</v>
      </c>
      <c r="N894" s="4" t="n">
        <f aca="false">L894*I894</f>
        <v>475</v>
      </c>
      <c r="O894" s="4" t="n">
        <f aca="false">M894-N894</f>
        <v>475</v>
      </c>
      <c r="P894" s="5" t="n">
        <f aca="false">IFERROR(O894/M894,0)</f>
        <v>0.5</v>
      </c>
    </row>
    <row r="895" customFormat="false" ht="15" hidden="false" customHeight="true" outlineLevel="0" collapsed="false">
      <c r="A895" s="6" t="s">
        <v>92</v>
      </c>
      <c r="B895" s="6" t="s">
        <v>93</v>
      </c>
      <c r="C895" s="6" t="s">
        <v>59</v>
      </c>
      <c r="D895" s="6" t="s">
        <v>94</v>
      </c>
      <c r="E895" s="6" t="s">
        <v>61</v>
      </c>
      <c r="F895" s="6" t="s">
        <v>45</v>
      </c>
      <c r="G895" s="6" t="s">
        <v>46</v>
      </c>
      <c r="H895" s="6" t="s">
        <v>42</v>
      </c>
      <c r="I895" s="7" t="n">
        <v>5</v>
      </c>
      <c r="J895" s="7" t="n">
        <v>10</v>
      </c>
      <c r="K895" s="6" t="s">
        <v>29</v>
      </c>
      <c r="L895" s="6" t="n">
        <v>167</v>
      </c>
      <c r="M895" s="7" t="n">
        <f aca="false">L895*J895</f>
        <v>1670</v>
      </c>
      <c r="N895" s="7" t="n">
        <f aca="false">L895*I895</f>
        <v>835</v>
      </c>
      <c r="O895" s="7" t="n">
        <f aca="false">M895-N895</f>
        <v>835</v>
      </c>
      <c r="P895" s="8" t="n">
        <f aca="false">IFERROR(O895/M895,0)</f>
        <v>0.5</v>
      </c>
    </row>
    <row r="896" customFormat="false" ht="15" hidden="false" customHeight="true" outlineLevel="0" collapsed="false">
      <c r="A896" s="3" t="s">
        <v>92</v>
      </c>
      <c r="B896" s="3" t="s">
        <v>93</v>
      </c>
      <c r="C896" s="3" t="s">
        <v>59</v>
      </c>
      <c r="D896" s="3" t="s">
        <v>94</v>
      </c>
      <c r="E896" s="3" t="s">
        <v>61</v>
      </c>
      <c r="F896" s="3" t="s">
        <v>47</v>
      </c>
      <c r="G896" s="3" t="s">
        <v>48</v>
      </c>
      <c r="H896" s="3" t="s">
        <v>42</v>
      </c>
      <c r="I896" s="4" t="n">
        <v>2.8</v>
      </c>
      <c r="J896" s="4" t="n">
        <v>5.5</v>
      </c>
      <c r="K896" s="3" t="s">
        <v>24</v>
      </c>
      <c r="L896" s="3" t="n">
        <v>297</v>
      </c>
      <c r="M896" s="4" t="n">
        <f aca="false">L896*J896</f>
        <v>1633.5</v>
      </c>
      <c r="N896" s="4" t="n">
        <f aca="false">L896*I896</f>
        <v>831.6</v>
      </c>
      <c r="O896" s="4" t="n">
        <f aca="false">M896-N896</f>
        <v>801.9</v>
      </c>
      <c r="P896" s="5" t="n">
        <f aca="false">IFERROR(O896/M896,0)</f>
        <v>0.490909090909091</v>
      </c>
    </row>
    <row r="897" customFormat="false" ht="15" hidden="false" customHeight="true" outlineLevel="0" collapsed="false">
      <c r="A897" s="6" t="s">
        <v>92</v>
      </c>
      <c r="B897" s="6" t="s">
        <v>93</v>
      </c>
      <c r="C897" s="6" t="s">
        <v>59</v>
      </c>
      <c r="D897" s="6" t="s">
        <v>94</v>
      </c>
      <c r="E897" s="6" t="s">
        <v>61</v>
      </c>
      <c r="F897" s="6" t="s">
        <v>47</v>
      </c>
      <c r="G897" s="6" t="s">
        <v>48</v>
      </c>
      <c r="H897" s="6" t="s">
        <v>42</v>
      </c>
      <c r="I897" s="7" t="n">
        <v>2.8</v>
      </c>
      <c r="J897" s="7" t="n">
        <v>5.5</v>
      </c>
      <c r="K897" s="6" t="s">
        <v>25</v>
      </c>
      <c r="L897" s="6" t="n">
        <v>83</v>
      </c>
      <c r="M897" s="7" t="n">
        <f aca="false">L897*J897</f>
        <v>456.5</v>
      </c>
      <c r="N897" s="7" t="n">
        <f aca="false">L897*I897</f>
        <v>232.4</v>
      </c>
      <c r="O897" s="7" t="n">
        <f aca="false">M897-N897</f>
        <v>224.1</v>
      </c>
      <c r="P897" s="8" t="n">
        <f aca="false">IFERROR(O897/M897,0)</f>
        <v>0.490909090909091</v>
      </c>
    </row>
    <row r="898" customFormat="false" ht="15" hidden="false" customHeight="true" outlineLevel="0" collapsed="false">
      <c r="A898" s="3" t="s">
        <v>92</v>
      </c>
      <c r="B898" s="3" t="s">
        <v>93</v>
      </c>
      <c r="C898" s="3" t="s">
        <v>59</v>
      </c>
      <c r="D898" s="3" t="s">
        <v>94</v>
      </c>
      <c r="E898" s="3" t="s">
        <v>61</v>
      </c>
      <c r="F898" s="3" t="s">
        <v>47</v>
      </c>
      <c r="G898" s="3" t="s">
        <v>48</v>
      </c>
      <c r="H898" s="3" t="s">
        <v>42</v>
      </c>
      <c r="I898" s="4" t="n">
        <v>2.8</v>
      </c>
      <c r="J898" s="4" t="n">
        <v>5.5</v>
      </c>
      <c r="K898" s="3" t="s">
        <v>26</v>
      </c>
      <c r="L898" s="3" t="n">
        <v>183</v>
      </c>
      <c r="M898" s="4" t="n">
        <f aca="false">L898*J898</f>
        <v>1006.5</v>
      </c>
      <c r="N898" s="4" t="n">
        <f aca="false">L898*I898</f>
        <v>512.4</v>
      </c>
      <c r="O898" s="4" t="n">
        <f aca="false">M898-N898</f>
        <v>494.1</v>
      </c>
      <c r="P898" s="5" t="n">
        <f aca="false">IFERROR(O898/M898,0)</f>
        <v>0.490909090909091</v>
      </c>
    </row>
    <row r="899" customFormat="false" ht="15" hidden="false" customHeight="true" outlineLevel="0" collapsed="false">
      <c r="A899" s="6" t="s">
        <v>92</v>
      </c>
      <c r="B899" s="6" t="s">
        <v>93</v>
      </c>
      <c r="C899" s="6" t="s">
        <v>59</v>
      </c>
      <c r="D899" s="6" t="s">
        <v>94</v>
      </c>
      <c r="E899" s="6" t="s">
        <v>61</v>
      </c>
      <c r="F899" s="6" t="s">
        <v>47</v>
      </c>
      <c r="G899" s="6" t="s">
        <v>48</v>
      </c>
      <c r="H899" s="6" t="s">
        <v>42</v>
      </c>
      <c r="I899" s="7" t="n">
        <v>2.8</v>
      </c>
      <c r="J899" s="7" t="n">
        <v>5.5</v>
      </c>
      <c r="K899" s="6" t="s">
        <v>27</v>
      </c>
      <c r="L899" s="6" t="n">
        <v>154</v>
      </c>
      <c r="M899" s="7" t="n">
        <f aca="false">L899*J899</f>
        <v>847</v>
      </c>
      <c r="N899" s="7" t="n">
        <f aca="false">L899*I899</f>
        <v>431.2</v>
      </c>
      <c r="O899" s="7" t="n">
        <f aca="false">M899-N899</f>
        <v>415.8</v>
      </c>
      <c r="P899" s="8" t="n">
        <f aca="false">IFERROR(O899/M899,0)</f>
        <v>0.490909090909091</v>
      </c>
    </row>
    <row r="900" customFormat="false" ht="15" hidden="false" customHeight="true" outlineLevel="0" collapsed="false">
      <c r="A900" s="3" t="s">
        <v>92</v>
      </c>
      <c r="B900" s="3" t="s">
        <v>93</v>
      </c>
      <c r="C900" s="3" t="s">
        <v>59</v>
      </c>
      <c r="D900" s="3" t="s">
        <v>94</v>
      </c>
      <c r="E900" s="3" t="s">
        <v>61</v>
      </c>
      <c r="F900" s="3" t="s">
        <v>47</v>
      </c>
      <c r="G900" s="3" t="s">
        <v>48</v>
      </c>
      <c r="H900" s="3" t="s">
        <v>42</v>
      </c>
      <c r="I900" s="4" t="n">
        <v>2.8</v>
      </c>
      <c r="J900" s="4" t="n">
        <v>5.5</v>
      </c>
      <c r="K900" s="3" t="s">
        <v>28</v>
      </c>
      <c r="L900" s="3" t="n">
        <v>216</v>
      </c>
      <c r="M900" s="4" t="n">
        <f aca="false">L900*J900</f>
        <v>1188</v>
      </c>
      <c r="N900" s="4" t="n">
        <f aca="false">L900*I900</f>
        <v>604.8</v>
      </c>
      <c r="O900" s="4" t="n">
        <f aca="false">M900-N900</f>
        <v>583.2</v>
      </c>
      <c r="P900" s="5" t="n">
        <f aca="false">IFERROR(O900/M900,0)</f>
        <v>0.490909090909091</v>
      </c>
    </row>
    <row r="901" customFormat="false" ht="15" hidden="false" customHeight="true" outlineLevel="0" collapsed="false">
      <c r="A901" s="6" t="s">
        <v>92</v>
      </c>
      <c r="B901" s="6" t="s">
        <v>93</v>
      </c>
      <c r="C901" s="6" t="s">
        <v>59</v>
      </c>
      <c r="D901" s="6" t="s">
        <v>94</v>
      </c>
      <c r="E901" s="6" t="s">
        <v>61</v>
      </c>
      <c r="F901" s="6" t="s">
        <v>47</v>
      </c>
      <c r="G901" s="6" t="s">
        <v>48</v>
      </c>
      <c r="H901" s="6" t="s">
        <v>42</v>
      </c>
      <c r="I901" s="7" t="n">
        <v>2.8</v>
      </c>
      <c r="J901" s="7" t="n">
        <v>5.5</v>
      </c>
      <c r="K901" s="6" t="s">
        <v>29</v>
      </c>
      <c r="L901" s="6" t="n">
        <v>164</v>
      </c>
      <c r="M901" s="7" t="n">
        <f aca="false">L901*J901</f>
        <v>902</v>
      </c>
      <c r="N901" s="7" t="n">
        <f aca="false">L901*I901</f>
        <v>459.2</v>
      </c>
      <c r="O901" s="7" t="n">
        <f aca="false">M901-N901</f>
        <v>442.8</v>
      </c>
      <c r="P901" s="8" t="n">
        <f aca="false">IFERROR(O901/M901,0)</f>
        <v>0.490909090909091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8"/>
    <col collapsed="false" customWidth="true" hidden="false" outlineLevel="0" max="7" min="6" style="1" width="20"/>
    <col collapsed="false" customWidth="true" hidden="false" outlineLevel="0" max="8" min="8" style="1" width="22"/>
    <col collapsed="false" customWidth="true" hidden="false" outlineLevel="0" max="9" min="9" style="1" width="20"/>
    <col collapsed="false" customWidth="true" hidden="false" outlineLevel="0" max="10" min="10" style="1" width="16"/>
    <col collapsed="false" customWidth="true" hidden="false" outlineLevel="0" max="11" min="11" style="1" width="24"/>
    <col collapsed="false" customWidth="true" hidden="false" outlineLevel="0" max="12" min="12" style="1" width="20"/>
    <col collapsed="false" customWidth="true" hidden="false" outlineLevel="0" max="13" min="13" style="1" width="14"/>
    <col collapsed="false" customWidth="true" hidden="false" outlineLevel="0" max="14" min="14" style="1" width="20"/>
    <col collapsed="false" customWidth="true" hidden="false" outlineLevel="0" max="15" min="15" style="1" width="14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4</v>
      </c>
      <c r="E1" s="2" t="s">
        <v>10</v>
      </c>
      <c r="F1" s="2" t="s">
        <v>95</v>
      </c>
      <c r="G1" s="2" t="s">
        <v>96</v>
      </c>
      <c r="H1" s="2" t="s">
        <v>97</v>
      </c>
      <c r="I1" s="2" t="s">
        <v>98</v>
      </c>
      <c r="J1" s="2" t="s">
        <v>99</v>
      </c>
      <c r="K1" s="2" t="s">
        <v>100</v>
      </c>
      <c r="L1" s="2" t="s">
        <v>101</v>
      </c>
      <c r="M1" s="2" t="s">
        <v>102</v>
      </c>
      <c r="N1" s="2" t="s">
        <v>103</v>
      </c>
      <c r="O1" s="2" t="s">
        <v>104</v>
      </c>
    </row>
    <row r="2" customFormat="false" ht="15" hidden="false" customHeight="true" outlineLevel="0" collapsed="false">
      <c r="A2" s="3" t="s">
        <v>16</v>
      </c>
      <c r="B2" s="3" t="s">
        <v>17</v>
      </c>
      <c r="C2" s="3" t="s">
        <v>18</v>
      </c>
      <c r="D2" s="3" t="s">
        <v>20</v>
      </c>
      <c r="E2" s="3" t="s">
        <v>24</v>
      </c>
      <c r="F2" s="3" t="n">
        <v>88</v>
      </c>
      <c r="G2" s="3" t="n">
        <v>54</v>
      </c>
      <c r="H2" s="5" t="n">
        <f aca="false">G2/F2</f>
        <v>0.613636363636364</v>
      </c>
      <c r="I2" s="3" t="s">
        <v>105</v>
      </c>
      <c r="J2" s="3" t="s">
        <v>106</v>
      </c>
      <c r="K2" s="3" t="s">
        <v>105</v>
      </c>
      <c r="L2" s="3" t="n">
        <v>0</v>
      </c>
      <c r="M2" s="5" t="n">
        <f aca="false">L2/10</f>
        <v>0</v>
      </c>
      <c r="N2" s="3" t="n">
        <f aca="false">ROUND((H2*0.4) + (IF(I2="SIM",1,0)*0.2) + (IF(J2="SIM",1,0)*0.1) + (IF(K2="SIM",1,0)*0.2) + ((1-M2)*0.1),2)*10</f>
        <v>4.5</v>
      </c>
      <c r="O2" s="3" t="str">
        <f aca="false">IF(N2&gt;=8,"✅ Ótimo",IF(N2&gt;=6,"⚠️ Regular","❌ Crítico"))</f>
        <v>❌ Crítico</v>
      </c>
    </row>
    <row r="3" customFormat="false" ht="15" hidden="false" customHeight="true" outlineLevel="0" collapsed="false">
      <c r="A3" s="6" t="s">
        <v>16</v>
      </c>
      <c r="B3" s="6" t="s">
        <v>17</v>
      </c>
      <c r="C3" s="6" t="s">
        <v>18</v>
      </c>
      <c r="D3" s="6" t="s">
        <v>20</v>
      </c>
      <c r="E3" s="6" t="s">
        <v>25</v>
      </c>
      <c r="F3" s="6" t="n">
        <v>100</v>
      </c>
      <c r="G3" s="6" t="n">
        <v>92</v>
      </c>
      <c r="H3" s="8" t="n">
        <f aca="false">G3/F3</f>
        <v>0.92</v>
      </c>
      <c r="I3" s="6" t="s">
        <v>106</v>
      </c>
      <c r="J3" s="6" t="s">
        <v>105</v>
      </c>
      <c r="K3" s="6" t="s">
        <v>106</v>
      </c>
      <c r="L3" s="6" t="n">
        <v>4</v>
      </c>
      <c r="M3" s="8" t="n">
        <f aca="false">L3/10</f>
        <v>0.4</v>
      </c>
      <c r="N3" s="6" t="n">
        <f aca="false">ROUND((H3*0.4) + (IF(I3="SIM",1,0)*0.2) + (IF(J3="SIM",1,0)*0.1) + (IF(K3="SIM",1,0)*0.2) + ((1-M3)*0.1),2)*10</f>
        <v>8.3</v>
      </c>
      <c r="O3" s="6" t="str">
        <f aca="false">IF(N3&gt;=8,"✅ Ótimo",IF(N3&gt;=6,"⚠️ Regular","❌ Crítico"))</f>
        <v>✅ Ótimo</v>
      </c>
    </row>
    <row r="4" customFormat="false" ht="15" hidden="false" customHeight="true" outlineLevel="0" collapsed="false">
      <c r="A4" s="3" t="s">
        <v>16</v>
      </c>
      <c r="B4" s="3" t="s">
        <v>17</v>
      </c>
      <c r="C4" s="3" t="s">
        <v>18</v>
      </c>
      <c r="D4" s="3" t="s">
        <v>20</v>
      </c>
      <c r="E4" s="3" t="s">
        <v>26</v>
      </c>
      <c r="F4" s="3" t="n">
        <v>114</v>
      </c>
      <c r="G4" s="3" t="n">
        <v>87</v>
      </c>
      <c r="H4" s="5" t="n">
        <f aca="false">G4/F4</f>
        <v>0.763157894736842</v>
      </c>
      <c r="I4" s="3" t="s">
        <v>106</v>
      </c>
      <c r="J4" s="3" t="s">
        <v>106</v>
      </c>
      <c r="K4" s="3" t="s">
        <v>106</v>
      </c>
      <c r="L4" s="3" t="n">
        <v>2</v>
      </c>
      <c r="M4" s="5" t="n">
        <f aca="false">L4/10</f>
        <v>0.2</v>
      </c>
      <c r="N4" s="3" t="n">
        <f aca="false">ROUND((H4*0.4) + (IF(I4="SIM",1,0)*0.2) + (IF(J4="SIM",1,0)*0.1) + (IF(K4="SIM",1,0)*0.2) + ((1-M4)*0.1),2)*10</f>
        <v>8.9</v>
      </c>
      <c r="O4" s="3" t="str">
        <f aca="false">IF(N4&gt;=8,"✅ Ótimo",IF(N4&gt;=6,"⚠️ Regular","❌ Crítico"))</f>
        <v>✅ Ótimo</v>
      </c>
    </row>
    <row r="5" customFormat="false" ht="15" hidden="false" customHeight="true" outlineLevel="0" collapsed="false">
      <c r="A5" s="6" t="s">
        <v>16</v>
      </c>
      <c r="B5" s="6" t="s">
        <v>17</v>
      </c>
      <c r="C5" s="6" t="s">
        <v>18</v>
      </c>
      <c r="D5" s="6" t="s">
        <v>20</v>
      </c>
      <c r="E5" s="6" t="s">
        <v>27</v>
      </c>
      <c r="F5" s="6" t="n">
        <v>112</v>
      </c>
      <c r="G5" s="6" t="n">
        <v>78</v>
      </c>
      <c r="H5" s="8" t="n">
        <f aca="false">G5/F5</f>
        <v>0.696428571428571</v>
      </c>
      <c r="I5" s="6" t="s">
        <v>106</v>
      </c>
      <c r="J5" s="6" t="s">
        <v>106</v>
      </c>
      <c r="K5" s="6" t="s">
        <v>106</v>
      </c>
      <c r="L5" s="6" t="n">
        <v>1</v>
      </c>
      <c r="M5" s="8" t="n">
        <f aca="false">L5/10</f>
        <v>0.1</v>
      </c>
      <c r="N5" s="6" t="n">
        <f aca="false">ROUND((H5*0.4) + (IF(I5="SIM",1,0)*0.2) + (IF(J5="SIM",1,0)*0.1) + (IF(K5="SIM",1,0)*0.2) + ((1-M5)*0.1),2)*10</f>
        <v>8.7</v>
      </c>
      <c r="O5" s="6" t="str">
        <f aca="false">IF(N5&gt;=8,"✅ Ótimo",IF(N5&gt;=6,"⚠️ Regular","❌ Crítico"))</f>
        <v>✅ Ótimo</v>
      </c>
    </row>
    <row r="6" customFormat="false" ht="15" hidden="false" customHeight="true" outlineLevel="0" collapsed="false">
      <c r="A6" s="3" t="s">
        <v>16</v>
      </c>
      <c r="B6" s="3" t="s">
        <v>17</v>
      </c>
      <c r="C6" s="3" t="s">
        <v>18</v>
      </c>
      <c r="D6" s="3" t="s">
        <v>20</v>
      </c>
      <c r="E6" s="3" t="s">
        <v>28</v>
      </c>
      <c r="F6" s="3" t="n">
        <v>111</v>
      </c>
      <c r="G6" s="3" t="n">
        <v>53</v>
      </c>
      <c r="H6" s="5" t="n">
        <f aca="false">G6/F6</f>
        <v>0.477477477477478</v>
      </c>
      <c r="I6" s="3" t="s">
        <v>106</v>
      </c>
      <c r="J6" s="3" t="s">
        <v>105</v>
      </c>
      <c r="K6" s="3" t="s">
        <v>106</v>
      </c>
      <c r="L6" s="3" t="n">
        <v>3</v>
      </c>
      <c r="M6" s="5" t="n">
        <f aca="false">L6/10</f>
        <v>0.3</v>
      </c>
      <c r="N6" s="3" t="n">
        <f aca="false">ROUND((H6*0.4) + (IF(I6="SIM",1,0)*0.2) + (IF(J6="SIM",1,0)*0.1) + (IF(K6="SIM",1,0)*0.2) + ((1-M6)*0.1),2)*10</f>
        <v>6.6</v>
      </c>
      <c r="O6" s="3" t="str">
        <f aca="false">IF(N6&gt;=8,"✅ Ótimo",IF(N6&gt;=6,"⚠️ Regular","❌ Crítico"))</f>
        <v>⚠️ Regular</v>
      </c>
    </row>
    <row r="7" customFormat="false" ht="15" hidden="false" customHeight="true" outlineLevel="0" collapsed="false">
      <c r="A7" s="6" t="s">
        <v>16</v>
      </c>
      <c r="B7" s="6" t="s">
        <v>17</v>
      </c>
      <c r="C7" s="6" t="s">
        <v>18</v>
      </c>
      <c r="D7" s="6" t="s">
        <v>20</v>
      </c>
      <c r="E7" s="6" t="s">
        <v>29</v>
      </c>
      <c r="F7" s="6" t="n">
        <v>115</v>
      </c>
      <c r="G7" s="6" t="n">
        <v>66</v>
      </c>
      <c r="H7" s="8" t="n">
        <f aca="false">G7/F7</f>
        <v>0.573913043478261</v>
      </c>
      <c r="I7" s="6" t="s">
        <v>106</v>
      </c>
      <c r="J7" s="6" t="s">
        <v>106</v>
      </c>
      <c r="K7" s="6" t="s">
        <v>106</v>
      </c>
      <c r="L7" s="6" t="n">
        <v>3</v>
      </c>
      <c r="M7" s="8" t="n">
        <f aca="false">L7/10</f>
        <v>0.3</v>
      </c>
      <c r="N7" s="6" t="n">
        <f aca="false">ROUND((H7*0.4) + (IF(I7="SIM",1,0)*0.2) + (IF(J7="SIM",1,0)*0.1) + (IF(K7="SIM",1,0)*0.2) + ((1-M7)*0.1),2)*10</f>
        <v>8</v>
      </c>
      <c r="O7" s="6" t="str">
        <f aca="false">IF(N7&gt;=8,"✅ Ótimo",IF(N7&gt;=6,"⚠️ Regular","❌ Crítico"))</f>
        <v>✅ Ótimo</v>
      </c>
    </row>
    <row r="8" customFormat="false" ht="15" hidden="false" customHeight="true" outlineLevel="0" collapsed="false">
      <c r="A8" s="3" t="s">
        <v>49</v>
      </c>
      <c r="B8" s="3" t="s">
        <v>50</v>
      </c>
      <c r="C8" s="3" t="s">
        <v>18</v>
      </c>
      <c r="D8" s="3" t="s">
        <v>52</v>
      </c>
      <c r="E8" s="3" t="s">
        <v>24</v>
      </c>
      <c r="F8" s="3" t="n">
        <v>110</v>
      </c>
      <c r="G8" s="3" t="n">
        <v>117</v>
      </c>
      <c r="H8" s="5" t="n">
        <f aca="false">G8/F8</f>
        <v>1.06363636363636</v>
      </c>
      <c r="I8" s="3" t="s">
        <v>105</v>
      </c>
      <c r="J8" s="3" t="s">
        <v>106</v>
      </c>
      <c r="K8" s="3" t="s">
        <v>106</v>
      </c>
      <c r="L8" s="3" t="n">
        <v>1</v>
      </c>
      <c r="M8" s="5" t="n">
        <f aca="false">L8/10</f>
        <v>0.1</v>
      </c>
      <c r="N8" s="3" t="n">
        <f aca="false">ROUND((H8*0.4) + (IF(I8="SIM",1,0)*0.2) + (IF(J8="SIM",1,0)*0.1) + (IF(K8="SIM",1,0)*0.2) + ((1-M8)*0.1),2)*10</f>
        <v>8.2</v>
      </c>
      <c r="O8" s="3" t="str">
        <f aca="false">IF(N8&gt;=8,"✅ Ótimo",IF(N8&gt;=6,"⚠️ Regular","❌ Crítico"))</f>
        <v>✅ Ótimo</v>
      </c>
    </row>
    <row r="9" customFormat="false" ht="15" hidden="false" customHeight="true" outlineLevel="0" collapsed="false">
      <c r="A9" s="6" t="s">
        <v>49</v>
      </c>
      <c r="B9" s="6" t="s">
        <v>50</v>
      </c>
      <c r="C9" s="6" t="s">
        <v>18</v>
      </c>
      <c r="D9" s="6" t="s">
        <v>52</v>
      </c>
      <c r="E9" s="6" t="s">
        <v>25</v>
      </c>
      <c r="F9" s="6" t="n">
        <v>100</v>
      </c>
      <c r="G9" s="6" t="n">
        <v>91</v>
      </c>
      <c r="H9" s="8" t="n">
        <f aca="false">G9/F9</f>
        <v>0.91</v>
      </c>
      <c r="I9" s="6" t="s">
        <v>106</v>
      </c>
      <c r="J9" s="6" t="s">
        <v>106</v>
      </c>
      <c r="K9" s="6" t="s">
        <v>105</v>
      </c>
      <c r="L9" s="6" t="n">
        <v>4</v>
      </c>
      <c r="M9" s="8" t="n">
        <f aca="false">L9/10</f>
        <v>0.4</v>
      </c>
      <c r="N9" s="6" t="n">
        <f aca="false">ROUND((H9*0.4) + (IF(I9="SIM",1,0)*0.2) + (IF(J9="SIM",1,0)*0.1) + (IF(K9="SIM",1,0)*0.2) + ((1-M9)*0.1),2)*10</f>
        <v>7.2</v>
      </c>
      <c r="O9" s="6" t="str">
        <f aca="false">IF(N9&gt;=8,"✅ Ótimo",IF(N9&gt;=6,"⚠️ Regular","❌ Crítico"))</f>
        <v>⚠️ Regular</v>
      </c>
    </row>
    <row r="10" customFormat="false" ht="15" hidden="false" customHeight="true" outlineLevel="0" collapsed="false">
      <c r="A10" s="3" t="s">
        <v>49</v>
      </c>
      <c r="B10" s="3" t="s">
        <v>50</v>
      </c>
      <c r="C10" s="3" t="s">
        <v>18</v>
      </c>
      <c r="D10" s="3" t="s">
        <v>52</v>
      </c>
      <c r="E10" s="3" t="s">
        <v>26</v>
      </c>
      <c r="F10" s="3" t="n">
        <v>102</v>
      </c>
      <c r="G10" s="3" t="n">
        <v>58</v>
      </c>
      <c r="H10" s="5" t="n">
        <f aca="false">G10/F10</f>
        <v>0.568627450980392</v>
      </c>
      <c r="I10" s="3" t="s">
        <v>106</v>
      </c>
      <c r="J10" s="3" t="s">
        <v>106</v>
      </c>
      <c r="K10" s="3" t="s">
        <v>105</v>
      </c>
      <c r="L10" s="3" t="n">
        <v>4</v>
      </c>
      <c r="M10" s="5" t="n">
        <f aca="false">L10/10</f>
        <v>0.4</v>
      </c>
      <c r="N10" s="3" t="n">
        <f aca="false">ROUND((H10*0.4) + (IF(I10="SIM",1,0)*0.2) + (IF(J10="SIM",1,0)*0.1) + (IF(K10="SIM",1,0)*0.2) + ((1-M10)*0.1),2)*10</f>
        <v>5.9</v>
      </c>
      <c r="O10" s="3" t="str">
        <f aca="false">IF(N10&gt;=8,"✅ Ótimo",IF(N10&gt;=6,"⚠️ Regular","❌ Crítico"))</f>
        <v>❌ Crítico</v>
      </c>
    </row>
    <row r="11" customFormat="false" ht="15" hidden="false" customHeight="true" outlineLevel="0" collapsed="false">
      <c r="A11" s="6" t="s">
        <v>49</v>
      </c>
      <c r="B11" s="6" t="s">
        <v>50</v>
      </c>
      <c r="C11" s="6" t="s">
        <v>18</v>
      </c>
      <c r="D11" s="6" t="s">
        <v>52</v>
      </c>
      <c r="E11" s="6" t="s">
        <v>27</v>
      </c>
      <c r="F11" s="6" t="n">
        <v>83</v>
      </c>
      <c r="G11" s="6" t="n">
        <v>57</v>
      </c>
      <c r="H11" s="8" t="n">
        <f aca="false">G11/F11</f>
        <v>0.686746987951807</v>
      </c>
      <c r="I11" s="6" t="s">
        <v>106</v>
      </c>
      <c r="J11" s="6" t="s">
        <v>106</v>
      </c>
      <c r="K11" s="6" t="s">
        <v>106</v>
      </c>
      <c r="L11" s="6" t="n">
        <v>1</v>
      </c>
      <c r="M11" s="8" t="n">
        <f aca="false">L11/10</f>
        <v>0.1</v>
      </c>
      <c r="N11" s="6" t="n">
        <f aca="false">ROUND((H11*0.4) + (IF(I11="SIM",1,0)*0.2) + (IF(J11="SIM",1,0)*0.1) + (IF(K11="SIM",1,0)*0.2) + ((1-M11)*0.1),2)*10</f>
        <v>8.6</v>
      </c>
      <c r="O11" s="6" t="str">
        <f aca="false">IF(N11&gt;=8,"✅ Ótimo",IF(N11&gt;=6,"⚠️ Regular","❌ Crítico"))</f>
        <v>✅ Ótimo</v>
      </c>
    </row>
    <row r="12" customFormat="false" ht="15" hidden="false" customHeight="true" outlineLevel="0" collapsed="false">
      <c r="A12" s="3" t="s">
        <v>49</v>
      </c>
      <c r="B12" s="3" t="s">
        <v>50</v>
      </c>
      <c r="C12" s="3" t="s">
        <v>18</v>
      </c>
      <c r="D12" s="3" t="s">
        <v>52</v>
      </c>
      <c r="E12" s="3" t="s">
        <v>28</v>
      </c>
      <c r="F12" s="3" t="n">
        <v>100</v>
      </c>
      <c r="G12" s="3" t="n">
        <v>109</v>
      </c>
      <c r="H12" s="5" t="n">
        <f aca="false">G12/F12</f>
        <v>1.09</v>
      </c>
      <c r="I12" s="3" t="s">
        <v>106</v>
      </c>
      <c r="J12" s="3" t="s">
        <v>106</v>
      </c>
      <c r="K12" s="3" t="s">
        <v>106</v>
      </c>
      <c r="L12" s="3" t="n">
        <v>0</v>
      </c>
      <c r="M12" s="5" t="n">
        <f aca="false">L12/10</f>
        <v>0</v>
      </c>
      <c r="N12" s="3" t="n">
        <f aca="false">ROUND((H12*0.4) + (IF(I12="SIM",1,0)*0.2) + (IF(J12="SIM",1,0)*0.1) + (IF(K12="SIM",1,0)*0.2) + ((1-M12)*0.1),2)*10</f>
        <v>10.4</v>
      </c>
      <c r="O12" s="3" t="str">
        <f aca="false">IF(N12&gt;=8,"✅ Ótimo",IF(N12&gt;=6,"⚠️ Regular","❌ Crítico"))</f>
        <v>✅ Ótimo</v>
      </c>
    </row>
    <row r="13" customFormat="false" ht="15" hidden="false" customHeight="true" outlineLevel="0" collapsed="false">
      <c r="A13" s="6" t="s">
        <v>49</v>
      </c>
      <c r="B13" s="6" t="s">
        <v>50</v>
      </c>
      <c r="C13" s="6" t="s">
        <v>18</v>
      </c>
      <c r="D13" s="6" t="s">
        <v>52</v>
      </c>
      <c r="E13" s="6" t="s">
        <v>29</v>
      </c>
      <c r="F13" s="6" t="n">
        <v>96</v>
      </c>
      <c r="G13" s="6" t="n">
        <v>62</v>
      </c>
      <c r="H13" s="8" t="n">
        <f aca="false">G13/F13</f>
        <v>0.645833333333333</v>
      </c>
      <c r="I13" s="6" t="s">
        <v>106</v>
      </c>
      <c r="J13" s="6" t="s">
        <v>106</v>
      </c>
      <c r="K13" s="6" t="s">
        <v>106</v>
      </c>
      <c r="L13" s="6" t="n">
        <v>4</v>
      </c>
      <c r="M13" s="8" t="n">
        <f aca="false">L13/10</f>
        <v>0.4</v>
      </c>
      <c r="N13" s="6" t="n">
        <f aca="false">ROUND((H13*0.4) + (IF(I13="SIM",1,0)*0.2) + (IF(J13="SIM",1,0)*0.1) + (IF(K13="SIM",1,0)*0.2) + ((1-M13)*0.1),2)*10</f>
        <v>8.2</v>
      </c>
      <c r="O13" s="6" t="str">
        <f aca="false">IF(N13&gt;=8,"✅ Ótimo",IF(N13&gt;=6,"⚠️ Regular","❌ Crítico"))</f>
        <v>✅ Ótimo</v>
      </c>
    </row>
    <row r="14" customFormat="false" ht="15" hidden="false" customHeight="true" outlineLevel="0" collapsed="false">
      <c r="A14" s="3" t="s">
        <v>53</v>
      </c>
      <c r="B14" s="3" t="s">
        <v>54</v>
      </c>
      <c r="C14" s="3" t="s">
        <v>18</v>
      </c>
      <c r="D14" s="3" t="s">
        <v>56</v>
      </c>
      <c r="E14" s="3" t="s">
        <v>24</v>
      </c>
      <c r="F14" s="3" t="n">
        <v>114</v>
      </c>
      <c r="G14" s="3" t="n">
        <v>61</v>
      </c>
      <c r="H14" s="5" t="n">
        <f aca="false">G14/F14</f>
        <v>0.535087719298246</v>
      </c>
      <c r="I14" s="3" t="s">
        <v>106</v>
      </c>
      <c r="J14" s="3" t="s">
        <v>105</v>
      </c>
      <c r="K14" s="3" t="s">
        <v>106</v>
      </c>
      <c r="L14" s="3" t="n">
        <v>1</v>
      </c>
      <c r="M14" s="5" t="n">
        <f aca="false">L14/10</f>
        <v>0.1</v>
      </c>
      <c r="N14" s="3" t="n">
        <f aca="false">ROUND((H14*0.4) + (IF(I14="SIM",1,0)*0.2) + (IF(J14="SIM",1,0)*0.1) + (IF(K14="SIM",1,0)*0.2) + ((1-M14)*0.1),2)*10</f>
        <v>7</v>
      </c>
      <c r="O14" s="3" t="str">
        <f aca="false">IF(N14&gt;=8,"✅ Ótimo",IF(N14&gt;=6,"⚠️ Regular","❌ Crítico"))</f>
        <v>⚠️ Regular</v>
      </c>
    </row>
    <row r="15" customFormat="false" ht="15" hidden="false" customHeight="true" outlineLevel="0" collapsed="false">
      <c r="A15" s="6" t="s">
        <v>53</v>
      </c>
      <c r="B15" s="6" t="s">
        <v>54</v>
      </c>
      <c r="C15" s="6" t="s">
        <v>18</v>
      </c>
      <c r="D15" s="6" t="s">
        <v>56</v>
      </c>
      <c r="E15" s="6" t="s">
        <v>25</v>
      </c>
      <c r="F15" s="6" t="n">
        <v>119</v>
      </c>
      <c r="G15" s="6" t="n">
        <v>127</v>
      </c>
      <c r="H15" s="8" t="n">
        <f aca="false">G15/F15</f>
        <v>1.0672268907563</v>
      </c>
      <c r="I15" s="6" t="s">
        <v>106</v>
      </c>
      <c r="J15" s="6" t="s">
        <v>105</v>
      </c>
      <c r="K15" s="6" t="s">
        <v>106</v>
      </c>
      <c r="L15" s="6" t="n">
        <v>0</v>
      </c>
      <c r="M15" s="8" t="n">
        <f aca="false">L15/10</f>
        <v>0</v>
      </c>
      <c r="N15" s="6" t="n">
        <f aca="false">ROUND((H15*0.4) + (IF(I15="SIM",1,0)*0.2) + (IF(J15="SIM",1,0)*0.1) + (IF(K15="SIM",1,0)*0.2) + ((1-M15)*0.1),2)*10</f>
        <v>9.3</v>
      </c>
      <c r="O15" s="6" t="str">
        <f aca="false">IF(N15&gt;=8,"✅ Ótimo",IF(N15&gt;=6,"⚠️ Regular","❌ Crítico"))</f>
        <v>✅ Ótimo</v>
      </c>
    </row>
    <row r="16" customFormat="false" ht="15" hidden="false" customHeight="true" outlineLevel="0" collapsed="false">
      <c r="A16" s="3" t="s">
        <v>53</v>
      </c>
      <c r="B16" s="3" t="s">
        <v>54</v>
      </c>
      <c r="C16" s="3" t="s">
        <v>18</v>
      </c>
      <c r="D16" s="3" t="s">
        <v>56</v>
      </c>
      <c r="E16" s="3" t="s">
        <v>26</v>
      </c>
      <c r="F16" s="3" t="n">
        <v>85</v>
      </c>
      <c r="G16" s="3" t="n">
        <v>52</v>
      </c>
      <c r="H16" s="5" t="n">
        <f aca="false">G16/F16</f>
        <v>0.611764705882353</v>
      </c>
      <c r="I16" s="3" t="s">
        <v>106</v>
      </c>
      <c r="J16" s="3" t="s">
        <v>105</v>
      </c>
      <c r="K16" s="3" t="s">
        <v>106</v>
      </c>
      <c r="L16" s="3" t="n">
        <v>4</v>
      </c>
      <c r="M16" s="5" t="n">
        <f aca="false">L16/10</f>
        <v>0.4</v>
      </c>
      <c r="N16" s="3" t="n">
        <f aca="false">ROUND((H16*0.4) + (IF(I16="SIM",1,0)*0.2) + (IF(J16="SIM",1,0)*0.1) + (IF(K16="SIM",1,0)*0.2) + ((1-M16)*0.1),2)*10</f>
        <v>7</v>
      </c>
      <c r="O16" s="3" t="str">
        <f aca="false">IF(N16&gt;=8,"✅ Ótimo",IF(N16&gt;=6,"⚠️ Regular","❌ Crítico"))</f>
        <v>⚠️ Regular</v>
      </c>
    </row>
    <row r="17" customFormat="false" ht="15" hidden="false" customHeight="true" outlineLevel="0" collapsed="false">
      <c r="A17" s="6" t="s">
        <v>53</v>
      </c>
      <c r="B17" s="6" t="s">
        <v>54</v>
      </c>
      <c r="C17" s="6" t="s">
        <v>18</v>
      </c>
      <c r="D17" s="6" t="s">
        <v>56</v>
      </c>
      <c r="E17" s="6" t="s">
        <v>27</v>
      </c>
      <c r="F17" s="6" t="n">
        <v>106</v>
      </c>
      <c r="G17" s="6" t="n">
        <v>53</v>
      </c>
      <c r="H17" s="8" t="n">
        <f aca="false">G17/F17</f>
        <v>0.5</v>
      </c>
      <c r="I17" s="6" t="s">
        <v>105</v>
      </c>
      <c r="J17" s="6" t="s">
        <v>105</v>
      </c>
      <c r="K17" s="6" t="s">
        <v>106</v>
      </c>
      <c r="L17" s="6" t="n">
        <v>2</v>
      </c>
      <c r="M17" s="8" t="n">
        <f aca="false">L17/10</f>
        <v>0.2</v>
      </c>
      <c r="N17" s="6" t="n">
        <f aca="false">ROUND((H17*0.4) + (IF(I17="SIM",1,0)*0.2) + (IF(J17="SIM",1,0)*0.1) + (IF(K17="SIM",1,0)*0.2) + ((1-M17)*0.1),2)*10</f>
        <v>4.8</v>
      </c>
      <c r="O17" s="6" t="str">
        <f aca="false">IF(N17&gt;=8,"✅ Ótimo",IF(N17&gt;=6,"⚠️ Regular","❌ Crítico"))</f>
        <v>❌ Crítico</v>
      </c>
    </row>
    <row r="18" customFormat="false" ht="15" hidden="false" customHeight="true" outlineLevel="0" collapsed="false">
      <c r="A18" s="3" t="s">
        <v>53</v>
      </c>
      <c r="B18" s="3" t="s">
        <v>54</v>
      </c>
      <c r="C18" s="3" t="s">
        <v>18</v>
      </c>
      <c r="D18" s="3" t="s">
        <v>56</v>
      </c>
      <c r="E18" s="3" t="s">
        <v>28</v>
      </c>
      <c r="F18" s="3" t="n">
        <v>110</v>
      </c>
      <c r="G18" s="3" t="n">
        <v>81</v>
      </c>
      <c r="H18" s="5" t="n">
        <f aca="false">G18/F18</f>
        <v>0.736363636363636</v>
      </c>
      <c r="I18" s="3" t="s">
        <v>105</v>
      </c>
      <c r="J18" s="3" t="s">
        <v>106</v>
      </c>
      <c r="K18" s="3" t="s">
        <v>105</v>
      </c>
      <c r="L18" s="3" t="n">
        <v>0</v>
      </c>
      <c r="M18" s="5" t="n">
        <f aca="false">L18/10</f>
        <v>0</v>
      </c>
      <c r="N18" s="3" t="n">
        <f aca="false">ROUND((H18*0.4) + (IF(I18="SIM",1,0)*0.2) + (IF(J18="SIM",1,0)*0.1) + (IF(K18="SIM",1,0)*0.2) + ((1-M18)*0.1),2)*10</f>
        <v>4.9</v>
      </c>
      <c r="O18" s="3" t="str">
        <f aca="false">IF(N18&gt;=8,"✅ Ótimo",IF(N18&gt;=6,"⚠️ Regular","❌ Crítico"))</f>
        <v>❌ Crítico</v>
      </c>
    </row>
    <row r="19" customFormat="false" ht="15" hidden="false" customHeight="true" outlineLevel="0" collapsed="false">
      <c r="A19" s="6" t="s">
        <v>53</v>
      </c>
      <c r="B19" s="6" t="s">
        <v>54</v>
      </c>
      <c r="C19" s="6" t="s">
        <v>18</v>
      </c>
      <c r="D19" s="6" t="s">
        <v>56</v>
      </c>
      <c r="E19" s="6" t="s">
        <v>29</v>
      </c>
      <c r="F19" s="6" t="n">
        <v>83</v>
      </c>
      <c r="G19" s="6" t="n">
        <v>60</v>
      </c>
      <c r="H19" s="8" t="n">
        <f aca="false">G19/F19</f>
        <v>0.72289156626506</v>
      </c>
      <c r="I19" s="6" t="s">
        <v>105</v>
      </c>
      <c r="J19" s="6" t="s">
        <v>106</v>
      </c>
      <c r="K19" s="6" t="s">
        <v>105</v>
      </c>
      <c r="L19" s="6" t="n">
        <v>3</v>
      </c>
      <c r="M19" s="8" t="n">
        <f aca="false">L19/10</f>
        <v>0.3</v>
      </c>
      <c r="N19" s="6" t="n">
        <f aca="false">ROUND((H19*0.4) + (IF(I19="SIM",1,0)*0.2) + (IF(J19="SIM",1,0)*0.1) + (IF(K19="SIM",1,0)*0.2) + ((1-M19)*0.1),2)*10</f>
        <v>4.6</v>
      </c>
      <c r="O19" s="6" t="str">
        <f aca="false">IF(N19&gt;=8,"✅ Ótimo",IF(N19&gt;=6,"⚠️ Regular","❌ Crítico"))</f>
        <v>❌ Crítico</v>
      </c>
    </row>
    <row r="20" customFormat="false" ht="15" hidden="false" customHeight="true" outlineLevel="0" collapsed="false">
      <c r="A20" s="3" t="s">
        <v>57</v>
      </c>
      <c r="B20" s="3" t="s">
        <v>58</v>
      </c>
      <c r="C20" s="3" t="s">
        <v>59</v>
      </c>
      <c r="D20" s="3" t="s">
        <v>61</v>
      </c>
      <c r="E20" s="3" t="s">
        <v>24</v>
      </c>
      <c r="F20" s="3" t="n">
        <v>93</v>
      </c>
      <c r="G20" s="3" t="n">
        <v>71</v>
      </c>
      <c r="H20" s="5" t="n">
        <f aca="false">G20/F20</f>
        <v>0.763440860215054</v>
      </c>
      <c r="I20" s="3" t="s">
        <v>106</v>
      </c>
      <c r="J20" s="3" t="s">
        <v>106</v>
      </c>
      <c r="K20" s="3" t="s">
        <v>106</v>
      </c>
      <c r="L20" s="3" t="n">
        <v>2</v>
      </c>
      <c r="M20" s="5" t="n">
        <f aca="false">L20/10</f>
        <v>0.2</v>
      </c>
      <c r="N20" s="3" t="n">
        <f aca="false">ROUND((H20*0.4) + (IF(I20="SIM",1,0)*0.2) + (IF(J20="SIM",1,0)*0.1) + (IF(K20="SIM",1,0)*0.2) + ((1-M20)*0.1),2)*10</f>
        <v>8.9</v>
      </c>
      <c r="O20" s="3" t="str">
        <f aca="false">IF(N20&gt;=8,"✅ Ótimo",IF(N20&gt;=6,"⚠️ Regular","❌ Crítico"))</f>
        <v>✅ Ótimo</v>
      </c>
    </row>
    <row r="21" customFormat="false" ht="15" hidden="false" customHeight="true" outlineLevel="0" collapsed="false">
      <c r="A21" s="6" t="s">
        <v>57</v>
      </c>
      <c r="B21" s="6" t="s">
        <v>58</v>
      </c>
      <c r="C21" s="6" t="s">
        <v>59</v>
      </c>
      <c r="D21" s="6" t="s">
        <v>61</v>
      </c>
      <c r="E21" s="6" t="s">
        <v>25</v>
      </c>
      <c r="F21" s="6" t="n">
        <v>105</v>
      </c>
      <c r="G21" s="6" t="n">
        <v>66</v>
      </c>
      <c r="H21" s="8" t="n">
        <f aca="false">G21/F21</f>
        <v>0.628571428571429</v>
      </c>
      <c r="I21" s="6" t="s">
        <v>106</v>
      </c>
      <c r="J21" s="6" t="s">
        <v>105</v>
      </c>
      <c r="K21" s="6" t="s">
        <v>106</v>
      </c>
      <c r="L21" s="6" t="n">
        <v>2</v>
      </c>
      <c r="M21" s="8" t="n">
        <f aca="false">L21/10</f>
        <v>0.2</v>
      </c>
      <c r="N21" s="6" t="n">
        <f aca="false">ROUND((H21*0.4) + (IF(I21="SIM",1,0)*0.2) + (IF(J21="SIM",1,0)*0.1) + (IF(K21="SIM",1,0)*0.2) + ((1-M21)*0.1),2)*10</f>
        <v>7.3</v>
      </c>
      <c r="O21" s="6" t="str">
        <f aca="false">IF(N21&gt;=8,"✅ Ótimo",IF(N21&gt;=6,"⚠️ Regular","❌ Crítico"))</f>
        <v>⚠️ Regular</v>
      </c>
    </row>
    <row r="22" customFormat="false" ht="15" hidden="false" customHeight="true" outlineLevel="0" collapsed="false">
      <c r="A22" s="3" t="s">
        <v>57</v>
      </c>
      <c r="B22" s="3" t="s">
        <v>58</v>
      </c>
      <c r="C22" s="3" t="s">
        <v>59</v>
      </c>
      <c r="D22" s="3" t="s">
        <v>61</v>
      </c>
      <c r="E22" s="3" t="s">
        <v>26</v>
      </c>
      <c r="F22" s="3" t="n">
        <v>95</v>
      </c>
      <c r="G22" s="3" t="n">
        <v>79</v>
      </c>
      <c r="H22" s="5" t="n">
        <f aca="false">G22/F22</f>
        <v>0.831578947368421</v>
      </c>
      <c r="I22" s="3" t="s">
        <v>106</v>
      </c>
      <c r="J22" s="3" t="s">
        <v>106</v>
      </c>
      <c r="K22" s="3" t="s">
        <v>105</v>
      </c>
      <c r="L22" s="3" t="n">
        <v>1</v>
      </c>
      <c r="M22" s="5" t="n">
        <f aca="false">L22/10</f>
        <v>0.1</v>
      </c>
      <c r="N22" s="3" t="n">
        <f aca="false">ROUND((H22*0.4) + (IF(I22="SIM",1,0)*0.2) + (IF(J22="SIM",1,0)*0.1) + (IF(K22="SIM",1,0)*0.2) + ((1-M22)*0.1),2)*10</f>
        <v>7.2</v>
      </c>
      <c r="O22" s="3" t="str">
        <f aca="false">IF(N22&gt;=8,"✅ Ótimo",IF(N22&gt;=6,"⚠️ Regular","❌ Crítico"))</f>
        <v>⚠️ Regular</v>
      </c>
    </row>
    <row r="23" customFormat="false" ht="15" hidden="false" customHeight="true" outlineLevel="0" collapsed="false">
      <c r="A23" s="6" t="s">
        <v>57</v>
      </c>
      <c r="B23" s="6" t="s">
        <v>58</v>
      </c>
      <c r="C23" s="6" t="s">
        <v>59</v>
      </c>
      <c r="D23" s="6" t="s">
        <v>61</v>
      </c>
      <c r="E23" s="6" t="s">
        <v>27</v>
      </c>
      <c r="F23" s="6" t="n">
        <v>89</v>
      </c>
      <c r="G23" s="6" t="n">
        <v>56</v>
      </c>
      <c r="H23" s="8" t="n">
        <f aca="false">G23/F23</f>
        <v>0.629213483146067</v>
      </c>
      <c r="I23" s="6" t="s">
        <v>106</v>
      </c>
      <c r="J23" s="6" t="s">
        <v>106</v>
      </c>
      <c r="K23" s="6" t="s">
        <v>105</v>
      </c>
      <c r="L23" s="6" t="n">
        <v>4</v>
      </c>
      <c r="M23" s="8" t="n">
        <f aca="false">L23/10</f>
        <v>0.4</v>
      </c>
      <c r="N23" s="6" t="n">
        <f aca="false">ROUND((H23*0.4) + (IF(I23="SIM",1,0)*0.2) + (IF(J23="SIM",1,0)*0.1) + (IF(K23="SIM",1,0)*0.2) + ((1-M23)*0.1),2)*10</f>
        <v>6.1</v>
      </c>
      <c r="O23" s="6" t="str">
        <f aca="false">IF(N23&gt;=8,"✅ Ótimo",IF(N23&gt;=6,"⚠️ Regular","❌ Crítico"))</f>
        <v>⚠️ Regular</v>
      </c>
    </row>
    <row r="24" customFormat="false" ht="15" hidden="false" customHeight="true" outlineLevel="0" collapsed="false">
      <c r="A24" s="3" t="s">
        <v>57</v>
      </c>
      <c r="B24" s="3" t="s">
        <v>58</v>
      </c>
      <c r="C24" s="3" t="s">
        <v>59</v>
      </c>
      <c r="D24" s="3" t="s">
        <v>61</v>
      </c>
      <c r="E24" s="3" t="s">
        <v>28</v>
      </c>
      <c r="F24" s="3" t="n">
        <v>106</v>
      </c>
      <c r="G24" s="3" t="n">
        <v>81</v>
      </c>
      <c r="H24" s="5" t="n">
        <f aca="false">G24/F24</f>
        <v>0.764150943396227</v>
      </c>
      <c r="I24" s="3" t="s">
        <v>106</v>
      </c>
      <c r="J24" s="3" t="s">
        <v>106</v>
      </c>
      <c r="K24" s="3" t="s">
        <v>106</v>
      </c>
      <c r="L24" s="3" t="n">
        <v>1</v>
      </c>
      <c r="M24" s="5" t="n">
        <f aca="false">L24/10</f>
        <v>0.1</v>
      </c>
      <c r="N24" s="3" t="n">
        <f aca="false">ROUND((H24*0.4) + (IF(I24="SIM",1,0)*0.2) + (IF(J24="SIM",1,0)*0.1) + (IF(K24="SIM",1,0)*0.2) + ((1-M24)*0.1),2)*10</f>
        <v>9</v>
      </c>
      <c r="O24" s="3" t="str">
        <f aca="false">IF(N24&gt;=8,"✅ Ótimo",IF(N24&gt;=6,"⚠️ Regular","❌ Crítico"))</f>
        <v>✅ Ótimo</v>
      </c>
    </row>
    <row r="25" customFormat="false" ht="15" hidden="false" customHeight="true" outlineLevel="0" collapsed="false">
      <c r="A25" s="6" t="s">
        <v>57</v>
      </c>
      <c r="B25" s="6" t="s">
        <v>58</v>
      </c>
      <c r="C25" s="6" t="s">
        <v>59</v>
      </c>
      <c r="D25" s="6" t="s">
        <v>61</v>
      </c>
      <c r="E25" s="6" t="s">
        <v>29</v>
      </c>
      <c r="F25" s="6" t="n">
        <v>90</v>
      </c>
      <c r="G25" s="6" t="n">
        <v>81</v>
      </c>
      <c r="H25" s="8" t="n">
        <f aca="false">G25/F25</f>
        <v>0.9</v>
      </c>
      <c r="I25" s="6" t="s">
        <v>105</v>
      </c>
      <c r="J25" s="6" t="s">
        <v>106</v>
      </c>
      <c r="K25" s="6" t="s">
        <v>106</v>
      </c>
      <c r="L25" s="6" t="n">
        <v>3</v>
      </c>
      <c r="M25" s="8" t="n">
        <f aca="false">L25/10</f>
        <v>0.3</v>
      </c>
      <c r="N25" s="6" t="n">
        <f aca="false">ROUND((H25*0.4) + (IF(I25="SIM",1,0)*0.2) + (IF(J25="SIM",1,0)*0.1) + (IF(K25="SIM",1,0)*0.2) + ((1-M25)*0.1),2)*10</f>
        <v>7.3</v>
      </c>
      <c r="O25" s="6" t="str">
        <f aca="false">IF(N25&gt;=8,"✅ Ótimo",IF(N25&gt;=6,"⚠️ Regular","❌ Crítico"))</f>
        <v>⚠️ Regular</v>
      </c>
    </row>
    <row r="26" customFormat="false" ht="15" hidden="false" customHeight="true" outlineLevel="0" collapsed="false">
      <c r="A26" s="3" t="s">
        <v>62</v>
      </c>
      <c r="B26" s="3" t="s">
        <v>63</v>
      </c>
      <c r="C26" s="3" t="s">
        <v>64</v>
      </c>
      <c r="D26" s="3" t="s">
        <v>52</v>
      </c>
      <c r="E26" s="3" t="s">
        <v>24</v>
      </c>
      <c r="F26" s="3" t="n">
        <v>81</v>
      </c>
      <c r="G26" s="3" t="n">
        <v>55</v>
      </c>
      <c r="H26" s="5" t="n">
        <f aca="false">G26/F26</f>
        <v>0.679012345679012</v>
      </c>
      <c r="I26" s="3" t="s">
        <v>105</v>
      </c>
      <c r="J26" s="3" t="s">
        <v>105</v>
      </c>
      <c r="K26" s="3" t="s">
        <v>105</v>
      </c>
      <c r="L26" s="3" t="n">
        <v>1</v>
      </c>
      <c r="M26" s="5" t="n">
        <f aca="false">L26/10</f>
        <v>0.1</v>
      </c>
      <c r="N26" s="3" t="n">
        <f aca="false">ROUND((H26*0.4) + (IF(I26="SIM",1,0)*0.2) + (IF(J26="SIM",1,0)*0.1) + (IF(K26="SIM",1,0)*0.2) + ((1-M26)*0.1),2)*10</f>
        <v>3.6</v>
      </c>
      <c r="O26" s="3" t="str">
        <f aca="false">IF(N26&gt;=8,"✅ Ótimo",IF(N26&gt;=6,"⚠️ Regular","❌ Crítico"))</f>
        <v>❌ Crítico</v>
      </c>
    </row>
    <row r="27" customFormat="false" ht="15" hidden="false" customHeight="true" outlineLevel="0" collapsed="false">
      <c r="A27" s="6" t="s">
        <v>62</v>
      </c>
      <c r="B27" s="6" t="s">
        <v>63</v>
      </c>
      <c r="C27" s="6" t="s">
        <v>64</v>
      </c>
      <c r="D27" s="6" t="s">
        <v>52</v>
      </c>
      <c r="E27" s="6" t="s">
        <v>25</v>
      </c>
      <c r="F27" s="6" t="n">
        <v>93</v>
      </c>
      <c r="G27" s="6" t="n">
        <v>87</v>
      </c>
      <c r="H27" s="8" t="n">
        <f aca="false">G27/F27</f>
        <v>0.935483870967742</v>
      </c>
      <c r="I27" s="6" t="s">
        <v>106</v>
      </c>
      <c r="J27" s="6" t="s">
        <v>106</v>
      </c>
      <c r="K27" s="6" t="s">
        <v>106</v>
      </c>
      <c r="L27" s="6" t="n">
        <v>2</v>
      </c>
      <c r="M27" s="8" t="n">
        <f aca="false">L27/10</f>
        <v>0.2</v>
      </c>
      <c r="N27" s="6" t="n">
        <f aca="false">ROUND((H27*0.4) + (IF(I27="SIM",1,0)*0.2) + (IF(J27="SIM",1,0)*0.1) + (IF(K27="SIM",1,0)*0.2) + ((1-M27)*0.1),2)*10</f>
        <v>9.5</v>
      </c>
      <c r="O27" s="6" t="str">
        <f aca="false">IF(N27&gt;=8,"✅ Ótimo",IF(N27&gt;=6,"⚠️ Regular","❌ Crítico"))</f>
        <v>✅ Ótimo</v>
      </c>
    </row>
    <row r="28" customFormat="false" ht="15" hidden="false" customHeight="true" outlineLevel="0" collapsed="false">
      <c r="A28" s="3" t="s">
        <v>62</v>
      </c>
      <c r="B28" s="3" t="s">
        <v>63</v>
      </c>
      <c r="C28" s="3" t="s">
        <v>64</v>
      </c>
      <c r="D28" s="3" t="s">
        <v>52</v>
      </c>
      <c r="E28" s="3" t="s">
        <v>26</v>
      </c>
      <c r="F28" s="3" t="n">
        <v>111</v>
      </c>
      <c r="G28" s="3" t="n">
        <v>110</v>
      </c>
      <c r="H28" s="5" t="n">
        <f aca="false">G28/F28</f>
        <v>0.990990990990991</v>
      </c>
      <c r="I28" s="3" t="s">
        <v>106</v>
      </c>
      <c r="J28" s="3" t="s">
        <v>105</v>
      </c>
      <c r="K28" s="3" t="s">
        <v>106</v>
      </c>
      <c r="L28" s="3" t="n">
        <v>0</v>
      </c>
      <c r="M28" s="5" t="n">
        <f aca="false">L28/10</f>
        <v>0</v>
      </c>
      <c r="N28" s="3" t="n">
        <f aca="false">ROUND((H28*0.4) + (IF(I28="SIM",1,0)*0.2) + (IF(J28="SIM",1,0)*0.1) + (IF(K28="SIM",1,0)*0.2) + ((1-M28)*0.1),2)*10</f>
        <v>9</v>
      </c>
      <c r="O28" s="3" t="str">
        <f aca="false">IF(N28&gt;=8,"✅ Ótimo",IF(N28&gt;=6,"⚠️ Regular","❌ Crítico"))</f>
        <v>✅ Ótimo</v>
      </c>
    </row>
    <row r="29" customFormat="false" ht="15" hidden="false" customHeight="true" outlineLevel="0" collapsed="false">
      <c r="A29" s="6" t="s">
        <v>62</v>
      </c>
      <c r="B29" s="6" t="s">
        <v>63</v>
      </c>
      <c r="C29" s="6" t="s">
        <v>64</v>
      </c>
      <c r="D29" s="6" t="s">
        <v>52</v>
      </c>
      <c r="E29" s="6" t="s">
        <v>27</v>
      </c>
      <c r="F29" s="6" t="n">
        <v>107</v>
      </c>
      <c r="G29" s="6" t="n">
        <v>67</v>
      </c>
      <c r="H29" s="8" t="n">
        <f aca="false">G29/F29</f>
        <v>0.626168224299065</v>
      </c>
      <c r="I29" s="6" t="s">
        <v>106</v>
      </c>
      <c r="J29" s="6" t="s">
        <v>105</v>
      </c>
      <c r="K29" s="6" t="s">
        <v>106</v>
      </c>
      <c r="L29" s="6" t="n">
        <v>3</v>
      </c>
      <c r="M29" s="8" t="n">
        <f aca="false">L29/10</f>
        <v>0.3</v>
      </c>
      <c r="N29" s="6" t="n">
        <f aca="false">ROUND((H29*0.4) + (IF(I29="SIM",1,0)*0.2) + (IF(J29="SIM",1,0)*0.1) + (IF(K29="SIM",1,0)*0.2) + ((1-M29)*0.1),2)*10</f>
        <v>7.2</v>
      </c>
      <c r="O29" s="6" t="str">
        <f aca="false">IF(N29&gt;=8,"✅ Ótimo",IF(N29&gt;=6,"⚠️ Regular","❌ Crítico"))</f>
        <v>⚠️ Regular</v>
      </c>
    </row>
    <row r="30" customFormat="false" ht="15" hidden="false" customHeight="true" outlineLevel="0" collapsed="false">
      <c r="A30" s="3" t="s">
        <v>62</v>
      </c>
      <c r="B30" s="3" t="s">
        <v>63</v>
      </c>
      <c r="C30" s="3" t="s">
        <v>64</v>
      </c>
      <c r="D30" s="3" t="s">
        <v>52</v>
      </c>
      <c r="E30" s="3" t="s">
        <v>28</v>
      </c>
      <c r="F30" s="3" t="n">
        <v>103</v>
      </c>
      <c r="G30" s="3" t="n">
        <v>55</v>
      </c>
      <c r="H30" s="5" t="n">
        <f aca="false">G30/F30</f>
        <v>0.533980582524272</v>
      </c>
      <c r="I30" s="3" t="s">
        <v>105</v>
      </c>
      <c r="J30" s="3" t="s">
        <v>106</v>
      </c>
      <c r="K30" s="3" t="s">
        <v>106</v>
      </c>
      <c r="L30" s="3" t="n">
        <v>2</v>
      </c>
      <c r="M30" s="5" t="n">
        <f aca="false">L30/10</f>
        <v>0.2</v>
      </c>
      <c r="N30" s="3" t="n">
        <f aca="false">ROUND((H30*0.4) + (IF(I30="SIM",1,0)*0.2) + (IF(J30="SIM",1,0)*0.1) + (IF(K30="SIM",1,0)*0.2) + ((1-M30)*0.1),2)*10</f>
        <v>5.9</v>
      </c>
      <c r="O30" s="3" t="str">
        <f aca="false">IF(N30&gt;=8,"✅ Ótimo",IF(N30&gt;=6,"⚠️ Regular","❌ Crítico"))</f>
        <v>❌ Crítico</v>
      </c>
    </row>
    <row r="31" customFormat="false" ht="15" hidden="false" customHeight="true" outlineLevel="0" collapsed="false">
      <c r="A31" s="6" t="s">
        <v>62</v>
      </c>
      <c r="B31" s="6" t="s">
        <v>63</v>
      </c>
      <c r="C31" s="6" t="s">
        <v>64</v>
      </c>
      <c r="D31" s="6" t="s">
        <v>52</v>
      </c>
      <c r="E31" s="6" t="s">
        <v>29</v>
      </c>
      <c r="F31" s="6" t="n">
        <v>115</v>
      </c>
      <c r="G31" s="6" t="n">
        <v>86</v>
      </c>
      <c r="H31" s="8" t="n">
        <f aca="false">G31/F31</f>
        <v>0.747826086956522</v>
      </c>
      <c r="I31" s="6" t="s">
        <v>106</v>
      </c>
      <c r="J31" s="6" t="s">
        <v>106</v>
      </c>
      <c r="K31" s="6" t="s">
        <v>105</v>
      </c>
      <c r="L31" s="6" t="n">
        <v>4</v>
      </c>
      <c r="M31" s="8" t="n">
        <f aca="false">L31/10</f>
        <v>0.4</v>
      </c>
      <c r="N31" s="6" t="n">
        <f aca="false">ROUND((H31*0.4) + (IF(I31="SIM",1,0)*0.2) + (IF(J31="SIM",1,0)*0.1) + (IF(K31="SIM",1,0)*0.2) + ((1-M31)*0.1),2)*10</f>
        <v>6.6</v>
      </c>
      <c r="O31" s="6" t="str">
        <f aca="false">IF(N31&gt;=8,"✅ Ótimo",IF(N31&gt;=6,"⚠️ Regular","❌ Crítico"))</f>
        <v>⚠️ Regular</v>
      </c>
    </row>
    <row r="32" customFormat="false" ht="15" hidden="false" customHeight="true" outlineLevel="0" collapsed="false">
      <c r="A32" s="3" t="s">
        <v>66</v>
      </c>
      <c r="B32" s="3" t="s">
        <v>67</v>
      </c>
      <c r="C32" s="3" t="s">
        <v>18</v>
      </c>
      <c r="D32" s="3" t="s">
        <v>20</v>
      </c>
      <c r="E32" s="3" t="s">
        <v>24</v>
      </c>
      <c r="F32" s="3" t="n">
        <v>97</v>
      </c>
      <c r="G32" s="3" t="n">
        <v>102</v>
      </c>
      <c r="H32" s="5" t="n">
        <f aca="false">G32/F32</f>
        <v>1.05154639175258</v>
      </c>
      <c r="I32" s="3" t="s">
        <v>106</v>
      </c>
      <c r="J32" s="3" t="s">
        <v>106</v>
      </c>
      <c r="K32" s="3" t="s">
        <v>106</v>
      </c>
      <c r="L32" s="3" t="n">
        <v>3</v>
      </c>
      <c r="M32" s="5" t="n">
        <f aca="false">L32/10</f>
        <v>0.3</v>
      </c>
      <c r="N32" s="3" t="n">
        <f aca="false">ROUND((H32*0.4) + (IF(I32="SIM",1,0)*0.2) + (IF(J32="SIM",1,0)*0.1) + (IF(K32="SIM",1,0)*0.2) + ((1-M32)*0.1),2)*10</f>
        <v>9.9</v>
      </c>
      <c r="O32" s="3" t="str">
        <f aca="false">IF(N32&gt;=8,"✅ Ótimo",IF(N32&gt;=6,"⚠️ Regular","❌ Crítico"))</f>
        <v>✅ Ótimo</v>
      </c>
    </row>
    <row r="33" customFormat="false" ht="15" hidden="false" customHeight="true" outlineLevel="0" collapsed="false">
      <c r="A33" s="6" t="s">
        <v>66</v>
      </c>
      <c r="B33" s="6" t="s">
        <v>67</v>
      </c>
      <c r="C33" s="6" t="s">
        <v>18</v>
      </c>
      <c r="D33" s="6" t="s">
        <v>20</v>
      </c>
      <c r="E33" s="6" t="s">
        <v>25</v>
      </c>
      <c r="F33" s="6" t="n">
        <v>103</v>
      </c>
      <c r="G33" s="6" t="n">
        <v>93</v>
      </c>
      <c r="H33" s="8" t="n">
        <f aca="false">G33/F33</f>
        <v>0.902912621359223</v>
      </c>
      <c r="I33" s="6" t="s">
        <v>106</v>
      </c>
      <c r="J33" s="6" t="s">
        <v>106</v>
      </c>
      <c r="K33" s="6" t="s">
        <v>106</v>
      </c>
      <c r="L33" s="6" t="n">
        <v>4</v>
      </c>
      <c r="M33" s="8" t="n">
        <f aca="false">L33/10</f>
        <v>0.4</v>
      </c>
      <c r="N33" s="6" t="n">
        <f aca="false">ROUND((H33*0.4) + (IF(I33="SIM",1,0)*0.2) + (IF(J33="SIM",1,0)*0.1) + (IF(K33="SIM",1,0)*0.2) + ((1-M33)*0.1),2)*10</f>
        <v>9.2</v>
      </c>
      <c r="O33" s="6" t="str">
        <f aca="false">IF(N33&gt;=8,"✅ Ótimo",IF(N33&gt;=6,"⚠️ Regular","❌ Crítico"))</f>
        <v>✅ Ótimo</v>
      </c>
    </row>
    <row r="34" customFormat="false" ht="15" hidden="false" customHeight="true" outlineLevel="0" collapsed="false">
      <c r="A34" s="3" t="s">
        <v>66</v>
      </c>
      <c r="B34" s="3" t="s">
        <v>67</v>
      </c>
      <c r="C34" s="3" t="s">
        <v>18</v>
      </c>
      <c r="D34" s="3" t="s">
        <v>20</v>
      </c>
      <c r="E34" s="3" t="s">
        <v>26</v>
      </c>
      <c r="F34" s="3" t="n">
        <v>112</v>
      </c>
      <c r="G34" s="3" t="n">
        <v>101</v>
      </c>
      <c r="H34" s="5" t="n">
        <f aca="false">G34/F34</f>
        <v>0.901785714285714</v>
      </c>
      <c r="I34" s="3" t="s">
        <v>106</v>
      </c>
      <c r="J34" s="3" t="s">
        <v>106</v>
      </c>
      <c r="K34" s="3" t="s">
        <v>106</v>
      </c>
      <c r="L34" s="3" t="n">
        <v>1</v>
      </c>
      <c r="M34" s="5" t="n">
        <f aca="false">L34/10</f>
        <v>0.1</v>
      </c>
      <c r="N34" s="3" t="n">
        <f aca="false">ROUND((H34*0.4) + (IF(I34="SIM",1,0)*0.2) + (IF(J34="SIM",1,0)*0.1) + (IF(K34="SIM",1,0)*0.2) + ((1-M34)*0.1),2)*10</f>
        <v>9.5</v>
      </c>
      <c r="O34" s="3" t="str">
        <f aca="false">IF(N34&gt;=8,"✅ Ótimo",IF(N34&gt;=6,"⚠️ Regular","❌ Crítico"))</f>
        <v>✅ Ótimo</v>
      </c>
    </row>
    <row r="35" customFormat="false" ht="15" hidden="false" customHeight="true" outlineLevel="0" collapsed="false">
      <c r="A35" s="6" t="s">
        <v>66</v>
      </c>
      <c r="B35" s="6" t="s">
        <v>67</v>
      </c>
      <c r="C35" s="6" t="s">
        <v>18</v>
      </c>
      <c r="D35" s="6" t="s">
        <v>20</v>
      </c>
      <c r="E35" s="6" t="s">
        <v>27</v>
      </c>
      <c r="F35" s="6" t="n">
        <v>101</v>
      </c>
      <c r="G35" s="6" t="n">
        <v>101</v>
      </c>
      <c r="H35" s="8" t="n">
        <f aca="false">G35/F35</f>
        <v>1</v>
      </c>
      <c r="I35" s="6" t="s">
        <v>105</v>
      </c>
      <c r="J35" s="6" t="s">
        <v>105</v>
      </c>
      <c r="K35" s="6" t="s">
        <v>105</v>
      </c>
      <c r="L35" s="6" t="n">
        <v>1</v>
      </c>
      <c r="M35" s="8" t="n">
        <f aca="false">L35/10</f>
        <v>0.1</v>
      </c>
      <c r="N35" s="6" t="n">
        <f aca="false">ROUND((H35*0.4) + (IF(I35="SIM",1,0)*0.2) + (IF(J35="SIM",1,0)*0.1) + (IF(K35="SIM",1,0)*0.2) + ((1-M35)*0.1),2)*10</f>
        <v>4.9</v>
      </c>
      <c r="O35" s="6" t="str">
        <f aca="false">IF(N35&gt;=8,"✅ Ótimo",IF(N35&gt;=6,"⚠️ Regular","❌ Crítico"))</f>
        <v>❌ Crítico</v>
      </c>
    </row>
    <row r="36" customFormat="false" ht="15" hidden="false" customHeight="true" outlineLevel="0" collapsed="false">
      <c r="A36" s="3" t="s">
        <v>66</v>
      </c>
      <c r="B36" s="3" t="s">
        <v>67</v>
      </c>
      <c r="C36" s="3" t="s">
        <v>18</v>
      </c>
      <c r="D36" s="3" t="s">
        <v>20</v>
      </c>
      <c r="E36" s="3" t="s">
        <v>28</v>
      </c>
      <c r="F36" s="3" t="n">
        <v>118</v>
      </c>
      <c r="G36" s="3" t="n">
        <v>115</v>
      </c>
      <c r="H36" s="5" t="n">
        <f aca="false">G36/F36</f>
        <v>0.974576271186441</v>
      </c>
      <c r="I36" s="3" t="s">
        <v>106</v>
      </c>
      <c r="J36" s="3" t="s">
        <v>106</v>
      </c>
      <c r="K36" s="3" t="s">
        <v>106</v>
      </c>
      <c r="L36" s="3" t="n">
        <v>1</v>
      </c>
      <c r="M36" s="5" t="n">
        <f aca="false">L36/10</f>
        <v>0.1</v>
      </c>
      <c r="N36" s="3" t="n">
        <f aca="false">ROUND((H36*0.4) + (IF(I36="SIM",1,0)*0.2) + (IF(J36="SIM",1,0)*0.1) + (IF(K36="SIM",1,0)*0.2) + ((1-M36)*0.1),2)*10</f>
        <v>9.8</v>
      </c>
      <c r="O36" s="3" t="str">
        <f aca="false">IF(N36&gt;=8,"✅ Ótimo",IF(N36&gt;=6,"⚠️ Regular","❌ Crítico"))</f>
        <v>✅ Ótimo</v>
      </c>
    </row>
    <row r="37" customFormat="false" ht="15" hidden="false" customHeight="true" outlineLevel="0" collapsed="false">
      <c r="A37" s="6" t="s">
        <v>66</v>
      </c>
      <c r="B37" s="6" t="s">
        <v>67</v>
      </c>
      <c r="C37" s="6" t="s">
        <v>18</v>
      </c>
      <c r="D37" s="6" t="s">
        <v>20</v>
      </c>
      <c r="E37" s="6" t="s">
        <v>29</v>
      </c>
      <c r="F37" s="6" t="n">
        <v>105</v>
      </c>
      <c r="G37" s="6" t="n">
        <v>88</v>
      </c>
      <c r="H37" s="8" t="n">
        <f aca="false">G37/F37</f>
        <v>0.838095238095238</v>
      </c>
      <c r="I37" s="6" t="s">
        <v>106</v>
      </c>
      <c r="J37" s="6" t="s">
        <v>105</v>
      </c>
      <c r="K37" s="6" t="s">
        <v>105</v>
      </c>
      <c r="L37" s="6" t="n">
        <v>4</v>
      </c>
      <c r="M37" s="8" t="n">
        <f aca="false">L37/10</f>
        <v>0.4</v>
      </c>
      <c r="N37" s="6" t="n">
        <f aca="false">ROUND((H37*0.4) + (IF(I37="SIM",1,0)*0.2) + (IF(J37="SIM",1,0)*0.1) + (IF(K37="SIM",1,0)*0.2) + ((1-M37)*0.1),2)*10</f>
        <v>6</v>
      </c>
      <c r="O37" s="6" t="str">
        <f aca="false">IF(N37&gt;=8,"✅ Ótimo",IF(N37&gt;=6,"⚠️ Regular","❌ Crítico"))</f>
        <v>⚠️ Regular</v>
      </c>
    </row>
    <row r="38" customFormat="false" ht="15" hidden="false" customHeight="true" outlineLevel="0" collapsed="false">
      <c r="A38" s="3" t="s">
        <v>69</v>
      </c>
      <c r="B38" s="3" t="s">
        <v>70</v>
      </c>
      <c r="C38" s="3" t="s">
        <v>18</v>
      </c>
      <c r="D38" s="3" t="s">
        <v>56</v>
      </c>
      <c r="E38" s="3" t="s">
        <v>24</v>
      </c>
      <c r="F38" s="3" t="n">
        <v>99</v>
      </c>
      <c r="G38" s="3" t="n">
        <v>80</v>
      </c>
      <c r="H38" s="5" t="n">
        <f aca="false">G38/F38</f>
        <v>0.808080808080808</v>
      </c>
      <c r="I38" s="3" t="s">
        <v>106</v>
      </c>
      <c r="J38" s="3" t="s">
        <v>106</v>
      </c>
      <c r="K38" s="3" t="s">
        <v>106</v>
      </c>
      <c r="L38" s="3" t="n">
        <v>0</v>
      </c>
      <c r="M38" s="5" t="n">
        <f aca="false">L38/10</f>
        <v>0</v>
      </c>
      <c r="N38" s="3" t="n">
        <f aca="false">ROUND((H38*0.4) + (IF(I38="SIM",1,0)*0.2) + (IF(J38="SIM",1,0)*0.1) + (IF(K38="SIM",1,0)*0.2) + ((1-M38)*0.1),2)*10</f>
        <v>9.2</v>
      </c>
      <c r="O38" s="3" t="str">
        <f aca="false">IF(N38&gt;=8,"✅ Ótimo",IF(N38&gt;=6,"⚠️ Regular","❌ Crítico"))</f>
        <v>✅ Ótimo</v>
      </c>
    </row>
    <row r="39" customFormat="false" ht="15" hidden="false" customHeight="true" outlineLevel="0" collapsed="false">
      <c r="A39" s="6" t="s">
        <v>69</v>
      </c>
      <c r="B39" s="6" t="s">
        <v>70</v>
      </c>
      <c r="C39" s="6" t="s">
        <v>18</v>
      </c>
      <c r="D39" s="6" t="s">
        <v>56</v>
      </c>
      <c r="E39" s="6" t="s">
        <v>25</v>
      </c>
      <c r="F39" s="6" t="n">
        <v>106</v>
      </c>
      <c r="G39" s="6" t="n">
        <v>89</v>
      </c>
      <c r="H39" s="8" t="n">
        <f aca="false">G39/F39</f>
        <v>0.839622641509434</v>
      </c>
      <c r="I39" s="6" t="s">
        <v>106</v>
      </c>
      <c r="J39" s="6" t="s">
        <v>105</v>
      </c>
      <c r="K39" s="6" t="s">
        <v>105</v>
      </c>
      <c r="L39" s="6" t="n">
        <v>2</v>
      </c>
      <c r="M39" s="8" t="n">
        <f aca="false">L39/10</f>
        <v>0.2</v>
      </c>
      <c r="N39" s="6" t="n">
        <f aca="false">ROUND((H39*0.4) + (IF(I39="SIM",1,0)*0.2) + (IF(J39="SIM",1,0)*0.1) + (IF(K39="SIM",1,0)*0.2) + ((1-M39)*0.1),2)*10</f>
        <v>6.2</v>
      </c>
      <c r="O39" s="6" t="str">
        <f aca="false">IF(N39&gt;=8,"✅ Ótimo",IF(N39&gt;=6,"⚠️ Regular","❌ Crítico"))</f>
        <v>⚠️ Regular</v>
      </c>
    </row>
    <row r="40" customFormat="false" ht="15" hidden="false" customHeight="true" outlineLevel="0" collapsed="false">
      <c r="A40" s="3" t="s">
        <v>69</v>
      </c>
      <c r="B40" s="3" t="s">
        <v>70</v>
      </c>
      <c r="C40" s="3" t="s">
        <v>18</v>
      </c>
      <c r="D40" s="3" t="s">
        <v>56</v>
      </c>
      <c r="E40" s="3" t="s">
        <v>26</v>
      </c>
      <c r="F40" s="3" t="n">
        <v>117</v>
      </c>
      <c r="G40" s="3" t="n">
        <v>123</v>
      </c>
      <c r="H40" s="5" t="n">
        <f aca="false">G40/F40</f>
        <v>1.05128205128205</v>
      </c>
      <c r="I40" s="3" t="s">
        <v>106</v>
      </c>
      <c r="J40" s="3" t="s">
        <v>105</v>
      </c>
      <c r="K40" s="3" t="s">
        <v>106</v>
      </c>
      <c r="L40" s="3" t="n">
        <v>4</v>
      </c>
      <c r="M40" s="5" t="n">
        <f aca="false">L40/10</f>
        <v>0.4</v>
      </c>
      <c r="N40" s="3" t="n">
        <f aca="false">ROUND((H40*0.4) + (IF(I40="SIM",1,0)*0.2) + (IF(J40="SIM",1,0)*0.1) + (IF(K40="SIM",1,0)*0.2) + ((1-M40)*0.1),2)*10</f>
        <v>8.8</v>
      </c>
      <c r="O40" s="3" t="str">
        <f aca="false">IF(N40&gt;=8,"✅ Ótimo",IF(N40&gt;=6,"⚠️ Regular","❌ Crítico"))</f>
        <v>✅ Ótimo</v>
      </c>
    </row>
    <row r="41" customFormat="false" ht="15" hidden="false" customHeight="true" outlineLevel="0" collapsed="false">
      <c r="A41" s="6" t="s">
        <v>69</v>
      </c>
      <c r="B41" s="6" t="s">
        <v>70</v>
      </c>
      <c r="C41" s="6" t="s">
        <v>18</v>
      </c>
      <c r="D41" s="6" t="s">
        <v>56</v>
      </c>
      <c r="E41" s="6" t="s">
        <v>27</v>
      </c>
      <c r="F41" s="6" t="n">
        <v>110</v>
      </c>
      <c r="G41" s="6" t="n">
        <v>71</v>
      </c>
      <c r="H41" s="8" t="n">
        <f aca="false">G41/F41</f>
        <v>0.645454545454546</v>
      </c>
      <c r="I41" s="6" t="s">
        <v>105</v>
      </c>
      <c r="J41" s="6" t="s">
        <v>106</v>
      </c>
      <c r="K41" s="6" t="s">
        <v>106</v>
      </c>
      <c r="L41" s="6" t="n">
        <v>0</v>
      </c>
      <c r="M41" s="8" t="n">
        <f aca="false">L41/10</f>
        <v>0</v>
      </c>
      <c r="N41" s="6" t="n">
        <f aca="false">ROUND((H41*0.4) + (IF(I41="SIM",1,0)*0.2) + (IF(J41="SIM",1,0)*0.1) + (IF(K41="SIM",1,0)*0.2) + ((1-M41)*0.1),2)*10</f>
        <v>6.6</v>
      </c>
      <c r="O41" s="6" t="str">
        <f aca="false">IF(N41&gt;=8,"✅ Ótimo",IF(N41&gt;=6,"⚠️ Regular","❌ Crítico"))</f>
        <v>⚠️ Regular</v>
      </c>
    </row>
    <row r="42" customFormat="false" ht="15" hidden="false" customHeight="true" outlineLevel="0" collapsed="false">
      <c r="A42" s="3" t="s">
        <v>69</v>
      </c>
      <c r="B42" s="3" t="s">
        <v>70</v>
      </c>
      <c r="C42" s="3" t="s">
        <v>18</v>
      </c>
      <c r="D42" s="3" t="s">
        <v>56</v>
      </c>
      <c r="E42" s="3" t="s">
        <v>28</v>
      </c>
      <c r="F42" s="3" t="n">
        <v>116</v>
      </c>
      <c r="G42" s="3" t="n">
        <v>64</v>
      </c>
      <c r="H42" s="5" t="n">
        <f aca="false">G42/F42</f>
        <v>0.551724137931035</v>
      </c>
      <c r="I42" s="3" t="s">
        <v>106</v>
      </c>
      <c r="J42" s="3" t="s">
        <v>106</v>
      </c>
      <c r="K42" s="3" t="s">
        <v>105</v>
      </c>
      <c r="L42" s="3" t="n">
        <v>2</v>
      </c>
      <c r="M42" s="5" t="n">
        <f aca="false">L42/10</f>
        <v>0.2</v>
      </c>
      <c r="N42" s="3" t="n">
        <f aca="false">ROUND((H42*0.4) + (IF(I42="SIM",1,0)*0.2) + (IF(J42="SIM",1,0)*0.1) + (IF(K42="SIM",1,0)*0.2) + ((1-M42)*0.1),2)*10</f>
        <v>6</v>
      </c>
      <c r="O42" s="3" t="str">
        <f aca="false">IF(N42&gt;=8,"✅ Ótimo",IF(N42&gt;=6,"⚠️ Regular","❌ Crítico"))</f>
        <v>⚠️ Regular</v>
      </c>
    </row>
    <row r="43" customFormat="false" ht="15" hidden="false" customHeight="true" outlineLevel="0" collapsed="false">
      <c r="A43" s="6" t="s">
        <v>69</v>
      </c>
      <c r="B43" s="6" t="s">
        <v>70</v>
      </c>
      <c r="C43" s="6" t="s">
        <v>18</v>
      </c>
      <c r="D43" s="6" t="s">
        <v>56</v>
      </c>
      <c r="E43" s="6" t="s">
        <v>29</v>
      </c>
      <c r="F43" s="6" t="n">
        <v>106</v>
      </c>
      <c r="G43" s="6" t="n">
        <v>69</v>
      </c>
      <c r="H43" s="8" t="n">
        <f aca="false">G43/F43</f>
        <v>0.650943396226415</v>
      </c>
      <c r="I43" s="6" t="s">
        <v>105</v>
      </c>
      <c r="J43" s="6" t="s">
        <v>105</v>
      </c>
      <c r="K43" s="6" t="s">
        <v>106</v>
      </c>
      <c r="L43" s="6" t="n">
        <v>3</v>
      </c>
      <c r="M43" s="8" t="n">
        <f aca="false">L43/10</f>
        <v>0.3</v>
      </c>
      <c r="N43" s="6" t="n">
        <f aca="false">ROUND((H43*0.4) + (IF(I43="SIM",1,0)*0.2) + (IF(J43="SIM",1,0)*0.1) + (IF(K43="SIM",1,0)*0.2) + ((1-M43)*0.1),2)*10</f>
        <v>5.3</v>
      </c>
      <c r="O43" s="6" t="str">
        <f aca="false">IF(N43&gt;=8,"✅ Ótimo",IF(N43&gt;=6,"⚠️ Regular","❌ Crítico"))</f>
        <v>❌ Crítico</v>
      </c>
    </row>
    <row r="44" customFormat="false" ht="15" hidden="false" customHeight="true" outlineLevel="0" collapsed="false">
      <c r="A44" s="3" t="s">
        <v>72</v>
      </c>
      <c r="B44" s="3" t="s">
        <v>73</v>
      </c>
      <c r="C44" s="3" t="s">
        <v>74</v>
      </c>
      <c r="D44" s="3" t="s">
        <v>52</v>
      </c>
      <c r="E44" s="3" t="s">
        <v>24</v>
      </c>
      <c r="F44" s="3" t="n">
        <v>112</v>
      </c>
      <c r="G44" s="3" t="n">
        <v>110</v>
      </c>
      <c r="H44" s="5" t="n">
        <f aca="false">G44/F44</f>
        <v>0.982142857142857</v>
      </c>
      <c r="I44" s="3" t="s">
        <v>106</v>
      </c>
      <c r="J44" s="3" t="s">
        <v>105</v>
      </c>
      <c r="K44" s="3" t="s">
        <v>106</v>
      </c>
      <c r="L44" s="3" t="n">
        <v>4</v>
      </c>
      <c r="M44" s="5" t="n">
        <f aca="false">L44/10</f>
        <v>0.4</v>
      </c>
      <c r="N44" s="3" t="n">
        <f aca="false">ROUND((H44*0.4) + (IF(I44="SIM",1,0)*0.2) + (IF(J44="SIM",1,0)*0.1) + (IF(K44="SIM",1,0)*0.2) + ((1-M44)*0.1),2)*10</f>
        <v>8.5</v>
      </c>
      <c r="O44" s="3" t="str">
        <f aca="false">IF(N44&gt;=8,"✅ Ótimo",IF(N44&gt;=6,"⚠️ Regular","❌ Crítico"))</f>
        <v>✅ Ótimo</v>
      </c>
    </row>
    <row r="45" customFormat="false" ht="15" hidden="false" customHeight="true" outlineLevel="0" collapsed="false">
      <c r="A45" s="6" t="s">
        <v>72</v>
      </c>
      <c r="B45" s="6" t="s">
        <v>73</v>
      </c>
      <c r="C45" s="6" t="s">
        <v>74</v>
      </c>
      <c r="D45" s="6" t="s">
        <v>52</v>
      </c>
      <c r="E45" s="6" t="s">
        <v>25</v>
      </c>
      <c r="F45" s="6" t="n">
        <v>93</v>
      </c>
      <c r="G45" s="6" t="n">
        <v>85</v>
      </c>
      <c r="H45" s="8" t="n">
        <f aca="false">G45/F45</f>
        <v>0.913978494623656</v>
      </c>
      <c r="I45" s="6" t="s">
        <v>106</v>
      </c>
      <c r="J45" s="6" t="s">
        <v>105</v>
      </c>
      <c r="K45" s="6" t="s">
        <v>105</v>
      </c>
      <c r="L45" s="6" t="n">
        <v>4</v>
      </c>
      <c r="M45" s="8" t="n">
        <f aca="false">L45/10</f>
        <v>0.4</v>
      </c>
      <c r="N45" s="6" t="n">
        <f aca="false">ROUND((H45*0.4) + (IF(I45="SIM",1,0)*0.2) + (IF(J45="SIM",1,0)*0.1) + (IF(K45="SIM",1,0)*0.2) + ((1-M45)*0.1),2)*10</f>
        <v>6.3</v>
      </c>
      <c r="O45" s="6" t="str">
        <f aca="false">IF(N45&gt;=8,"✅ Ótimo",IF(N45&gt;=6,"⚠️ Regular","❌ Crítico"))</f>
        <v>⚠️ Regular</v>
      </c>
    </row>
    <row r="46" customFormat="false" ht="15" hidden="false" customHeight="true" outlineLevel="0" collapsed="false">
      <c r="A46" s="3" t="s">
        <v>72</v>
      </c>
      <c r="B46" s="3" t="s">
        <v>73</v>
      </c>
      <c r="C46" s="3" t="s">
        <v>74</v>
      </c>
      <c r="D46" s="3" t="s">
        <v>52</v>
      </c>
      <c r="E46" s="3" t="s">
        <v>26</v>
      </c>
      <c r="F46" s="3" t="n">
        <v>104</v>
      </c>
      <c r="G46" s="3" t="n">
        <v>90</v>
      </c>
      <c r="H46" s="5" t="n">
        <f aca="false">G46/F46</f>
        <v>0.865384615384615</v>
      </c>
      <c r="I46" s="3" t="s">
        <v>106</v>
      </c>
      <c r="J46" s="3" t="s">
        <v>106</v>
      </c>
      <c r="K46" s="3" t="s">
        <v>106</v>
      </c>
      <c r="L46" s="3" t="n">
        <v>4</v>
      </c>
      <c r="M46" s="5" t="n">
        <f aca="false">L46/10</f>
        <v>0.4</v>
      </c>
      <c r="N46" s="3" t="n">
        <f aca="false">ROUND((H46*0.4) + (IF(I46="SIM",1,0)*0.2) + (IF(J46="SIM",1,0)*0.1) + (IF(K46="SIM",1,0)*0.2) + ((1-M46)*0.1),2)*10</f>
        <v>9.1</v>
      </c>
      <c r="O46" s="3" t="str">
        <f aca="false">IF(N46&gt;=8,"✅ Ótimo",IF(N46&gt;=6,"⚠️ Regular","❌ Crítico"))</f>
        <v>✅ Ótimo</v>
      </c>
    </row>
    <row r="47" customFormat="false" ht="15" hidden="false" customHeight="true" outlineLevel="0" collapsed="false">
      <c r="A47" s="6" t="s">
        <v>72</v>
      </c>
      <c r="B47" s="6" t="s">
        <v>73</v>
      </c>
      <c r="C47" s="6" t="s">
        <v>74</v>
      </c>
      <c r="D47" s="6" t="s">
        <v>52</v>
      </c>
      <c r="E47" s="6" t="s">
        <v>27</v>
      </c>
      <c r="F47" s="6" t="n">
        <v>102</v>
      </c>
      <c r="G47" s="6" t="n">
        <v>93</v>
      </c>
      <c r="H47" s="8" t="n">
        <f aca="false">G47/F47</f>
        <v>0.911764705882353</v>
      </c>
      <c r="I47" s="6" t="s">
        <v>106</v>
      </c>
      <c r="J47" s="6" t="s">
        <v>105</v>
      </c>
      <c r="K47" s="6" t="s">
        <v>105</v>
      </c>
      <c r="L47" s="6" t="n">
        <v>1</v>
      </c>
      <c r="M47" s="8" t="n">
        <f aca="false">L47/10</f>
        <v>0.1</v>
      </c>
      <c r="N47" s="6" t="n">
        <f aca="false">ROUND((H47*0.4) + (IF(I47="SIM",1,0)*0.2) + (IF(J47="SIM",1,0)*0.1) + (IF(K47="SIM",1,0)*0.2) + ((1-M47)*0.1),2)*10</f>
        <v>6.5</v>
      </c>
      <c r="O47" s="6" t="str">
        <f aca="false">IF(N47&gt;=8,"✅ Ótimo",IF(N47&gt;=6,"⚠️ Regular","❌ Crítico"))</f>
        <v>⚠️ Regular</v>
      </c>
    </row>
    <row r="48" customFormat="false" ht="15" hidden="false" customHeight="true" outlineLevel="0" collapsed="false">
      <c r="A48" s="3" t="s">
        <v>72</v>
      </c>
      <c r="B48" s="3" t="s">
        <v>73</v>
      </c>
      <c r="C48" s="3" t="s">
        <v>74</v>
      </c>
      <c r="D48" s="3" t="s">
        <v>52</v>
      </c>
      <c r="E48" s="3" t="s">
        <v>28</v>
      </c>
      <c r="F48" s="3" t="n">
        <v>95</v>
      </c>
      <c r="G48" s="3" t="n">
        <v>67</v>
      </c>
      <c r="H48" s="5" t="n">
        <f aca="false">G48/F48</f>
        <v>0.705263157894737</v>
      </c>
      <c r="I48" s="3" t="s">
        <v>106</v>
      </c>
      <c r="J48" s="3" t="s">
        <v>106</v>
      </c>
      <c r="K48" s="3" t="s">
        <v>106</v>
      </c>
      <c r="L48" s="3" t="n">
        <v>2</v>
      </c>
      <c r="M48" s="5" t="n">
        <f aca="false">L48/10</f>
        <v>0.2</v>
      </c>
      <c r="N48" s="3" t="n">
        <f aca="false">ROUND((H48*0.4) + (IF(I48="SIM",1,0)*0.2) + (IF(J48="SIM",1,0)*0.1) + (IF(K48="SIM",1,0)*0.2) + ((1-M48)*0.1),2)*10</f>
        <v>8.6</v>
      </c>
      <c r="O48" s="3" t="str">
        <f aca="false">IF(N48&gt;=8,"✅ Ótimo",IF(N48&gt;=6,"⚠️ Regular","❌ Crítico"))</f>
        <v>✅ Ótimo</v>
      </c>
    </row>
    <row r="49" customFormat="false" ht="15" hidden="false" customHeight="true" outlineLevel="0" collapsed="false">
      <c r="A49" s="6" t="s">
        <v>72</v>
      </c>
      <c r="B49" s="6" t="s">
        <v>73</v>
      </c>
      <c r="C49" s="6" t="s">
        <v>74</v>
      </c>
      <c r="D49" s="6" t="s">
        <v>52</v>
      </c>
      <c r="E49" s="6" t="s">
        <v>29</v>
      </c>
      <c r="F49" s="6" t="n">
        <v>93</v>
      </c>
      <c r="G49" s="6" t="n">
        <v>94</v>
      </c>
      <c r="H49" s="8" t="n">
        <f aca="false">G49/F49</f>
        <v>1.01075268817204</v>
      </c>
      <c r="I49" s="6" t="s">
        <v>105</v>
      </c>
      <c r="J49" s="6" t="s">
        <v>106</v>
      </c>
      <c r="K49" s="6" t="s">
        <v>105</v>
      </c>
      <c r="L49" s="6" t="n">
        <v>2</v>
      </c>
      <c r="M49" s="8" t="n">
        <f aca="false">L49/10</f>
        <v>0.2</v>
      </c>
      <c r="N49" s="6" t="n">
        <f aca="false">ROUND((H49*0.4) + (IF(I49="SIM",1,0)*0.2) + (IF(J49="SIM",1,0)*0.1) + (IF(K49="SIM",1,0)*0.2) + ((1-M49)*0.1),2)*10</f>
        <v>5.8</v>
      </c>
      <c r="O49" s="6" t="str">
        <f aca="false">IF(N49&gt;=8,"✅ Ótimo",IF(N49&gt;=6,"⚠️ Regular","❌ Crítico"))</f>
        <v>❌ Crítico</v>
      </c>
    </row>
    <row r="50" customFormat="false" ht="15" hidden="false" customHeight="true" outlineLevel="0" collapsed="false">
      <c r="A50" s="3" t="s">
        <v>75</v>
      </c>
      <c r="B50" s="3" t="s">
        <v>76</v>
      </c>
      <c r="C50" s="3" t="s">
        <v>18</v>
      </c>
      <c r="D50" s="3" t="s">
        <v>20</v>
      </c>
      <c r="E50" s="3" t="s">
        <v>24</v>
      </c>
      <c r="F50" s="3" t="n">
        <v>115</v>
      </c>
      <c r="G50" s="3" t="n">
        <v>85</v>
      </c>
      <c r="H50" s="5" t="n">
        <f aca="false">G50/F50</f>
        <v>0.739130434782609</v>
      </c>
      <c r="I50" s="3" t="s">
        <v>106</v>
      </c>
      <c r="J50" s="3" t="s">
        <v>106</v>
      </c>
      <c r="K50" s="3" t="s">
        <v>105</v>
      </c>
      <c r="L50" s="3" t="n">
        <v>3</v>
      </c>
      <c r="M50" s="5" t="n">
        <f aca="false">L50/10</f>
        <v>0.3</v>
      </c>
      <c r="N50" s="3" t="n">
        <f aca="false">ROUND((H50*0.4) + (IF(I50="SIM",1,0)*0.2) + (IF(J50="SIM",1,0)*0.1) + (IF(K50="SIM",1,0)*0.2) + ((1-M50)*0.1),2)*10</f>
        <v>6.7</v>
      </c>
      <c r="O50" s="3" t="str">
        <f aca="false">IF(N50&gt;=8,"✅ Ótimo",IF(N50&gt;=6,"⚠️ Regular","❌ Crítico"))</f>
        <v>⚠️ Regular</v>
      </c>
    </row>
    <row r="51" customFormat="false" ht="15" hidden="false" customHeight="true" outlineLevel="0" collapsed="false">
      <c r="A51" s="6" t="s">
        <v>75</v>
      </c>
      <c r="B51" s="6" t="s">
        <v>76</v>
      </c>
      <c r="C51" s="6" t="s">
        <v>18</v>
      </c>
      <c r="D51" s="6" t="s">
        <v>20</v>
      </c>
      <c r="E51" s="6" t="s">
        <v>25</v>
      </c>
      <c r="F51" s="6" t="n">
        <v>102</v>
      </c>
      <c r="G51" s="6" t="n">
        <v>111</v>
      </c>
      <c r="H51" s="8" t="n">
        <f aca="false">G51/F51</f>
        <v>1.08823529411765</v>
      </c>
      <c r="I51" s="6" t="s">
        <v>106</v>
      </c>
      <c r="J51" s="6" t="s">
        <v>106</v>
      </c>
      <c r="K51" s="6" t="s">
        <v>106</v>
      </c>
      <c r="L51" s="6" t="n">
        <v>2</v>
      </c>
      <c r="M51" s="8" t="n">
        <f aca="false">L51/10</f>
        <v>0.2</v>
      </c>
      <c r="N51" s="6" t="n">
        <f aca="false">ROUND((H51*0.4) + (IF(I51="SIM",1,0)*0.2) + (IF(J51="SIM",1,0)*0.1) + (IF(K51="SIM",1,0)*0.2) + ((1-M51)*0.1),2)*10</f>
        <v>10.2</v>
      </c>
      <c r="O51" s="6" t="str">
        <f aca="false">IF(N51&gt;=8,"✅ Ótimo",IF(N51&gt;=6,"⚠️ Regular","❌ Crítico"))</f>
        <v>✅ Ótimo</v>
      </c>
    </row>
    <row r="52" customFormat="false" ht="15" hidden="false" customHeight="true" outlineLevel="0" collapsed="false">
      <c r="A52" s="3" t="s">
        <v>75</v>
      </c>
      <c r="B52" s="3" t="s">
        <v>76</v>
      </c>
      <c r="C52" s="3" t="s">
        <v>18</v>
      </c>
      <c r="D52" s="3" t="s">
        <v>20</v>
      </c>
      <c r="E52" s="3" t="s">
        <v>26</v>
      </c>
      <c r="F52" s="3" t="n">
        <v>85</v>
      </c>
      <c r="G52" s="3" t="n">
        <v>72</v>
      </c>
      <c r="H52" s="5" t="n">
        <f aca="false">G52/F52</f>
        <v>0.847058823529412</v>
      </c>
      <c r="I52" s="3" t="s">
        <v>105</v>
      </c>
      <c r="J52" s="3" t="s">
        <v>105</v>
      </c>
      <c r="K52" s="3" t="s">
        <v>106</v>
      </c>
      <c r="L52" s="3" t="n">
        <v>3</v>
      </c>
      <c r="M52" s="5" t="n">
        <f aca="false">L52/10</f>
        <v>0.3</v>
      </c>
      <c r="N52" s="3" t="n">
        <f aca="false">ROUND((H52*0.4) + (IF(I52="SIM",1,0)*0.2) + (IF(J52="SIM",1,0)*0.1) + (IF(K52="SIM",1,0)*0.2) + ((1-M52)*0.1),2)*10</f>
        <v>6.1</v>
      </c>
      <c r="O52" s="3" t="str">
        <f aca="false">IF(N52&gt;=8,"✅ Ótimo",IF(N52&gt;=6,"⚠️ Regular","❌ Crítico"))</f>
        <v>⚠️ Regular</v>
      </c>
    </row>
    <row r="53" customFormat="false" ht="15" hidden="false" customHeight="true" outlineLevel="0" collapsed="false">
      <c r="A53" s="6" t="s">
        <v>75</v>
      </c>
      <c r="B53" s="6" t="s">
        <v>76</v>
      </c>
      <c r="C53" s="6" t="s">
        <v>18</v>
      </c>
      <c r="D53" s="6" t="s">
        <v>20</v>
      </c>
      <c r="E53" s="6" t="s">
        <v>27</v>
      </c>
      <c r="F53" s="6" t="n">
        <v>93</v>
      </c>
      <c r="G53" s="6" t="n">
        <v>62</v>
      </c>
      <c r="H53" s="8" t="n">
        <f aca="false">G53/F53</f>
        <v>0.666666666666667</v>
      </c>
      <c r="I53" s="6" t="s">
        <v>106</v>
      </c>
      <c r="J53" s="6" t="s">
        <v>105</v>
      </c>
      <c r="K53" s="6" t="s">
        <v>106</v>
      </c>
      <c r="L53" s="6" t="n">
        <v>1</v>
      </c>
      <c r="M53" s="8" t="n">
        <f aca="false">L53/10</f>
        <v>0.1</v>
      </c>
      <c r="N53" s="6" t="n">
        <f aca="false">ROUND((H53*0.4) + (IF(I53="SIM",1,0)*0.2) + (IF(J53="SIM",1,0)*0.1) + (IF(K53="SIM",1,0)*0.2) + ((1-M53)*0.1),2)*10</f>
        <v>7.6</v>
      </c>
      <c r="O53" s="6" t="str">
        <f aca="false">IF(N53&gt;=8,"✅ Ótimo",IF(N53&gt;=6,"⚠️ Regular","❌ Crítico"))</f>
        <v>⚠️ Regular</v>
      </c>
    </row>
    <row r="54" customFormat="false" ht="15" hidden="false" customHeight="true" outlineLevel="0" collapsed="false">
      <c r="A54" s="3" t="s">
        <v>75</v>
      </c>
      <c r="B54" s="3" t="s">
        <v>76</v>
      </c>
      <c r="C54" s="3" t="s">
        <v>18</v>
      </c>
      <c r="D54" s="3" t="s">
        <v>20</v>
      </c>
      <c r="E54" s="3" t="s">
        <v>28</v>
      </c>
      <c r="F54" s="3" t="n">
        <v>86</v>
      </c>
      <c r="G54" s="3" t="n">
        <v>89</v>
      </c>
      <c r="H54" s="5" t="n">
        <f aca="false">G54/F54</f>
        <v>1.03488372093023</v>
      </c>
      <c r="I54" s="3" t="s">
        <v>106</v>
      </c>
      <c r="J54" s="3" t="s">
        <v>106</v>
      </c>
      <c r="K54" s="3" t="s">
        <v>106</v>
      </c>
      <c r="L54" s="3" t="n">
        <v>4</v>
      </c>
      <c r="M54" s="5" t="n">
        <f aca="false">L54/10</f>
        <v>0.4</v>
      </c>
      <c r="N54" s="3" t="n">
        <f aca="false">ROUND((H54*0.4) + (IF(I54="SIM",1,0)*0.2) + (IF(J54="SIM",1,0)*0.1) + (IF(K54="SIM",1,0)*0.2) + ((1-M54)*0.1),2)*10</f>
        <v>9.7</v>
      </c>
      <c r="O54" s="3" t="str">
        <f aca="false">IF(N54&gt;=8,"✅ Ótimo",IF(N54&gt;=6,"⚠️ Regular","❌ Crítico"))</f>
        <v>✅ Ótimo</v>
      </c>
    </row>
    <row r="55" customFormat="false" ht="15" hidden="false" customHeight="true" outlineLevel="0" collapsed="false">
      <c r="A55" s="6" t="s">
        <v>75</v>
      </c>
      <c r="B55" s="6" t="s">
        <v>76</v>
      </c>
      <c r="C55" s="6" t="s">
        <v>18</v>
      </c>
      <c r="D55" s="6" t="s">
        <v>20</v>
      </c>
      <c r="E55" s="6" t="s">
        <v>29</v>
      </c>
      <c r="F55" s="6" t="n">
        <v>94</v>
      </c>
      <c r="G55" s="6" t="n">
        <v>90</v>
      </c>
      <c r="H55" s="8" t="n">
        <f aca="false">G55/F55</f>
        <v>0.957446808510638</v>
      </c>
      <c r="I55" s="6" t="s">
        <v>106</v>
      </c>
      <c r="J55" s="6" t="s">
        <v>106</v>
      </c>
      <c r="K55" s="6" t="s">
        <v>106</v>
      </c>
      <c r="L55" s="6" t="n">
        <v>3</v>
      </c>
      <c r="M55" s="8" t="n">
        <f aca="false">L55/10</f>
        <v>0.3</v>
      </c>
      <c r="N55" s="6" t="n">
        <f aca="false">ROUND((H55*0.4) + (IF(I55="SIM",1,0)*0.2) + (IF(J55="SIM",1,0)*0.1) + (IF(K55="SIM",1,0)*0.2) + ((1-M55)*0.1),2)*10</f>
        <v>9.5</v>
      </c>
      <c r="O55" s="6" t="str">
        <f aca="false">IF(N55&gt;=8,"✅ Ótimo",IF(N55&gt;=6,"⚠️ Regular","❌ Crítico"))</f>
        <v>✅ Ótimo</v>
      </c>
    </row>
    <row r="56" customFormat="false" ht="15" hidden="false" customHeight="true" outlineLevel="0" collapsed="false">
      <c r="A56" s="3" t="s">
        <v>78</v>
      </c>
      <c r="B56" s="3" t="s">
        <v>79</v>
      </c>
      <c r="C56" s="3" t="s">
        <v>18</v>
      </c>
      <c r="D56" s="3" t="s">
        <v>61</v>
      </c>
      <c r="E56" s="3" t="s">
        <v>24</v>
      </c>
      <c r="F56" s="3" t="n">
        <v>101</v>
      </c>
      <c r="G56" s="3" t="n">
        <v>95</v>
      </c>
      <c r="H56" s="5" t="n">
        <f aca="false">G56/F56</f>
        <v>0.940594059405941</v>
      </c>
      <c r="I56" s="3" t="s">
        <v>105</v>
      </c>
      <c r="J56" s="3" t="s">
        <v>106</v>
      </c>
      <c r="K56" s="3" t="s">
        <v>106</v>
      </c>
      <c r="L56" s="3" t="n">
        <v>0</v>
      </c>
      <c r="M56" s="5" t="n">
        <f aca="false">L56/10</f>
        <v>0</v>
      </c>
      <c r="N56" s="3" t="n">
        <f aca="false">ROUND((H56*0.4) + (IF(I56="SIM",1,0)*0.2) + (IF(J56="SIM",1,0)*0.1) + (IF(K56="SIM",1,0)*0.2) + ((1-M56)*0.1),2)*10</f>
        <v>7.8</v>
      </c>
      <c r="O56" s="3" t="str">
        <f aca="false">IF(N56&gt;=8,"✅ Ótimo",IF(N56&gt;=6,"⚠️ Regular","❌ Crítico"))</f>
        <v>⚠️ Regular</v>
      </c>
    </row>
    <row r="57" customFormat="false" ht="15" hidden="false" customHeight="true" outlineLevel="0" collapsed="false">
      <c r="A57" s="6" t="s">
        <v>78</v>
      </c>
      <c r="B57" s="6" t="s">
        <v>79</v>
      </c>
      <c r="C57" s="6" t="s">
        <v>18</v>
      </c>
      <c r="D57" s="6" t="s">
        <v>61</v>
      </c>
      <c r="E57" s="6" t="s">
        <v>25</v>
      </c>
      <c r="F57" s="6" t="n">
        <v>115</v>
      </c>
      <c r="G57" s="6" t="n">
        <v>70</v>
      </c>
      <c r="H57" s="8" t="n">
        <f aca="false">G57/F57</f>
        <v>0.608695652173913</v>
      </c>
      <c r="I57" s="6" t="s">
        <v>105</v>
      </c>
      <c r="J57" s="6" t="s">
        <v>105</v>
      </c>
      <c r="K57" s="6" t="s">
        <v>105</v>
      </c>
      <c r="L57" s="6" t="n">
        <v>3</v>
      </c>
      <c r="M57" s="8" t="n">
        <f aca="false">L57/10</f>
        <v>0.3</v>
      </c>
      <c r="N57" s="6" t="n">
        <f aca="false">ROUND((H57*0.4) + (IF(I57="SIM",1,0)*0.2) + (IF(J57="SIM",1,0)*0.1) + (IF(K57="SIM",1,0)*0.2) + ((1-M57)*0.1),2)*10</f>
        <v>3.1</v>
      </c>
      <c r="O57" s="6" t="str">
        <f aca="false">IF(N57&gt;=8,"✅ Ótimo",IF(N57&gt;=6,"⚠️ Regular","❌ Crítico"))</f>
        <v>❌ Crítico</v>
      </c>
    </row>
    <row r="58" customFormat="false" ht="15" hidden="false" customHeight="true" outlineLevel="0" collapsed="false">
      <c r="A58" s="3" t="s">
        <v>78</v>
      </c>
      <c r="B58" s="3" t="s">
        <v>79</v>
      </c>
      <c r="C58" s="3" t="s">
        <v>18</v>
      </c>
      <c r="D58" s="3" t="s">
        <v>61</v>
      </c>
      <c r="E58" s="3" t="s">
        <v>26</v>
      </c>
      <c r="F58" s="3" t="n">
        <v>92</v>
      </c>
      <c r="G58" s="3" t="n">
        <v>98</v>
      </c>
      <c r="H58" s="5" t="n">
        <f aca="false">G58/F58</f>
        <v>1.06521739130435</v>
      </c>
      <c r="I58" s="3" t="s">
        <v>106</v>
      </c>
      <c r="J58" s="3" t="s">
        <v>106</v>
      </c>
      <c r="K58" s="3" t="s">
        <v>106</v>
      </c>
      <c r="L58" s="3" t="n">
        <v>0</v>
      </c>
      <c r="M58" s="5" t="n">
        <f aca="false">L58/10</f>
        <v>0</v>
      </c>
      <c r="N58" s="3" t="n">
        <f aca="false">ROUND((H58*0.4) + (IF(I58="SIM",1,0)*0.2) + (IF(J58="SIM",1,0)*0.1) + (IF(K58="SIM",1,0)*0.2) + ((1-M58)*0.1),2)*10</f>
        <v>10.3</v>
      </c>
      <c r="O58" s="3" t="str">
        <f aca="false">IF(N58&gt;=8,"✅ Ótimo",IF(N58&gt;=6,"⚠️ Regular","❌ Crítico"))</f>
        <v>✅ Ótimo</v>
      </c>
    </row>
    <row r="59" customFormat="false" ht="15" hidden="false" customHeight="true" outlineLevel="0" collapsed="false">
      <c r="A59" s="6" t="s">
        <v>78</v>
      </c>
      <c r="B59" s="6" t="s">
        <v>79</v>
      </c>
      <c r="C59" s="6" t="s">
        <v>18</v>
      </c>
      <c r="D59" s="6" t="s">
        <v>61</v>
      </c>
      <c r="E59" s="6" t="s">
        <v>27</v>
      </c>
      <c r="F59" s="6" t="n">
        <v>85</v>
      </c>
      <c r="G59" s="6" t="n">
        <v>91</v>
      </c>
      <c r="H59" s="8" t="n">
        <f aca="false">G59/F59</f>
        <v>1.07058823529412</v>
      </c>
      <c r="I59" s="6" t="s">
        <v>106</v>
      </c>
      <c r="J59" s="6" t="s">
        <v>105</v>
      </c>
      <c r="K59" s="6" t="s">
        <v>106</v>
      </c>
      <c r="L59" s="6" t="n">
        <v>1</v>
      </c>
      <c r="M59" s="8" t="n">
        <f aca="false">L59/10</f>
        <v>0.1</v>
      </c>
      <c r="N59" s="6" t="n">
        <f aca="false">ROUND((H59*0.4) + (IF(I59="SIM",1,0)*0.2) + (IF(J59="SIM",1,0)*0.1) + (IF(K59="SIM",1,0)*0.2) + ((1-M59)*0.1),2)*10</f>
        <v>9.2</v>
      </c>
      <c r="O59" s="6" t="str">
        <f aca="false">IF(N59&gt;=8,"✅ Ótimo",IF(N59&gt;=6,"⚠️ Regular","❌ Crítico"))</f>
        <v>✅ Ótimo</v>
      </c>
    </row>
    <row r="60" customFormat="false" ht="15" hidden="false" customHeight="true" outlineLevel="0" collapsed="false">
      <c r="A60" s="3" t="s">
        <v>78</v>
      </c>
      <c r="B60" s="3" t="s">
        <v>79</v>
      </c>
      <c r="C60" s="3" t="s">
        <v>18</v>
      </c>
      <c r="D60" s="3" t="s">
        <v>61</v>
      </c>
      <c r="E60" s="3" t="s">
        <v>28</v>
      </c>
      <c r="F60" s="3" t="n">
        <v>106</v>
      </c>
      <c r="G60" s="3" t="n">
        <v>72</v>
      </c>
      <c r="H60" s="5" t="n">
        <f aca="false">G60/F60</f>
        <v>0.679245283018868</v>
      </c>
      <c r="I60" s="3" t="s">
        <v>106</v>
      </c>
      <c r="J60" s="3" t="s">
        <v>106</v>
      </c>
      <c r="K60" s="3" t="s">
        <v>105</v>
      </c>
      <c r="L60" s="3" t="n">
        <v>1</v>
      </c>
      <c r="M60" s="5" t="n">
        <f aca="false">L60/10</f>
        <v>0.1</v>
      </c>
      <c r="N60" s="3" t="n">
        <f aca="false">ROUND((H60*0.4) + (IF(I60="SIM",1,0)*0.2) + (IF(J60="SIM",1,0)*0.1) + (IF(K60="SIM",1,0)*0.2) + ((1-M60)*0.1),2)*10</f>
        <v>6.6</v>
      </c>
      <c r="O60" s="3" t="str">
        <f aca="false">IF(N60&gt;=8,"✅ Ótimo",IF(N60&gt;=6,"⚠️ Regular","❌ Crítico"))</f>
        <v>⚠️ Regular</v>
      </c>
    </row>
    <row r="61" customFormat="false" ht="15" hidden="false" customHeight="true" outlineLevel="0" collapsed="false">
      <c r="A61" s="6" t="s">
        <v>78</v>
      </c>
      <c r="B61" s="6" t="s">
        <v>79</v>
      </c>
      <c r="C61" s="6" t="s">
        <v>18</v>
      </c>
      <c r="D61" s="6" t="s">
        <v>61</v>
      </c>
      <c r="E61" s="6" t="s">
        <v>29</v>
      </c>
      <c r="F61" s="6" t="n">
        <v>98</v>
      </c>
      <c r="G61" s="6" t="n">
        <v>106</v>
      </c>
      <c r="H61" s="8" t="n">
        <f aca="false">G61/F61</f>
        <v>1.08163265306122</v>
      </c>
      <c r="I61" s="6" t="s">
        <v>106</v>
      </c>
      <c r="J61" s="6" t="s">
        <v>106</v>
      </c>
      <c r="K61" s="6" t="s">
        <v>106</v>
      </c>
      <c r="L61" s="6" t="n">
        <v>4</v>
      </c>
      <c r="M61" s="8" t="n">
        <f aca="false">L61/10</f>
        <v>0.4</v>
      </c>
      <c r="N61" s="6" t="n">
        <f aca="false">ROUND((H61*0.4) + (IF(I61="SIM",1,0)*0.2) + (IF(J61="SIM",1,0)*0.1) + (IF(K61="SIM",1,0)*0.2) + ((1-M61)*0.1),2)*10</f>
        <v>9.9</v>
      </c>
      <c r="O61" s="6" t="str">
        <f aca="false">IF(N61&gt;=8,"✅ Ótimo",IF(N61&gt;=6,"⚠️ Regular","❌ Crítico"))</f>
        <v>✅ Ótimo</v>
      </c>
    </row>
    <row r="62" customFormat="false" ht="15" hidden="false" customHeight="true" outlineLevel="0" collapsed="false">
      <c r="A62" s="3" t="s">
        <v>80</v>
      </c>
      <c r="B62" s="3" t="s">
        <v>81</v>
      </c>
      <c r="C62" s="3" t="s">
        <v>59</v>
      </c>
      <c r="D62" s="3" t="s">
        <v>52</v>
      </c>
      <c r="E62" s="3" t="s">
        <v>24</v>
      </c>
      <c r="F62" s="3" t="n">
        <v>118</v>
      </c>
      <c r="G62" s="3" t="n">
        <v>63</v>
      </c>
      <c r="H62" s="5" t="n">
        <f aca="false">G62/F62</f>
        <v>0.533898305084746</v>
      </c>
      <c r="I62" s="3" t="s">
        <v>106</v>
      </c>
      <c r="J62" s="3" t="s">
        <v>106</v>
      </c>
      <c r="K62" s="3" t="s">
        <v>105</v>
      </c>
      <c r="L62" s="3" t="n">
        <v>4</v>
      </c>
      <c r="M62" s="5" t="n">
        <f aca="false">L62/10</f>
        <v>0.4</v>
      </c>
      <c r="N62" s="3" t="n">
        <f aca="false">ROUND((H62*0.4) + (IF(I62="SIM",1,0)*0.2) + (IF(J62="SIM",1,0)*0.1) + (IF(K62="SIM",1,0)*0.2) + ((1-M62)*0.1),2)*10</f>
        <v>5.7</v>
      </c>
      <c r="O62" s="3" t="str">
        <f aca="false">IF(N62&gt;=8,"✅ Ótimo",IF(N62&gt;=6,"⚠️ Regular","❌ Crítico"))</f>
        <v>❌ Crítico</v>
      </c>
    </row>
    <row r="63" customFormat="false" ht="15" hidden="false" customHeight="true" outlineLevel="0" collapsed="false">
      <c r="A63" s="6" t="s">
        <v>80</v>
      </c>
      <c r="B63" s="6" t="s">
        <v>81</v>
      </c>
      <c r="C63" s="6" t="s">
        <v>59</v>
      </c>
      <c r="D63" s="6" t="s">
        <v>52</v>
      </c>
      <c r="E63" s="6" t="s">
        <v>25</v>
      </c>
      <c r="F63" s="6" t="n">
        <v>113</v>
      </c>
      <c r="G63" s="6" t="n">
        <v>113</v>
      </c>
      <c r="H63" s="8" t="n">
        <f aca="false">G63/F63</f>
        <v>1</v>
      </c>
      <c r="I63" s="6" t="s">
        <v>106</v>
      </c>
      <c r="J63" s="6" t="s">
        <v>105</v>
      </c>
      <c r="K63" s="6" t="s">
        <v>105</v>
      </c>
      <c r="L63" s="6" t="n">
        <v>2</v>
      </c>
      <c r="M63" s="8" t="n">
        <f aca="false">L63/10</f>
        <v>0.2</v>
      </c>
      <c r="N63" s="6" t="n">
        <f aca="false">ROUND((H63*0.4) + (IF(I63="SIM",1,0)*0.2) + (IF(J63="SIM",1,0)*0.1) + (IF(K63="SIM",1,0)*0.2) + ((1-M63)*0.1),2)*10</f>
        <v>6.8</v>
      </c>
      <c r="O63" s="6" t="str">
        <f aca="false">IF(N63&gt;=8,"✅ Ótimo",IF(N63&gt;=6,"⚠️ Regular","❌ Crítico"))</f>
        <v>⚠️ Regular</v>
      </c>
    </row>
    <row r="64" customFormat="false" ht="15" hidden="false" customHeight="true" outlineLevel="0" collapsed="false">
      <c r="A64" s="3" t="s">
        <v>80</v>
      </c>
      <c r="B64" s="3" t="s">
        <v>81</v>
      </c>
      <c r="C64" s="3" t="s">
        <v>59</v>
      </c>
      <c r="D64" s="3" t="s">
        <v>52</v>
      </c>
      <c r="E64" s="3" t="s">
        <v>26</v>
      </c>
      <c r="F64" s="3" t="n">
        <v>92</v>
      </c>
      <c r="G64" s="3" t="n">
        <v>101</v>
      </c>
      <c r="H64" s="5" t="n">
        <f aca="false">G64/F64</f>
        <v>1.09782608695652</v>
      </c>
      <c r="I64" s="3" t="s">
        <v>106</v>
      </c>
      <c r="J64" s="3" t="s">
        <v>106</v>
      </c>
      <c r="K64" s="3" t="s">
        <v>106</v>
      </c>
      <c r="L64" s="3" t="n">
        <v>3</v>
      </c>
      <c r="M64" s="5" t="n">
        <f aca="false">L64/10</f>
        <v>0.3</v>
      </c>
      <c r="N64" s="3" t="n">
        <f aca="false">ROUND((H64*0.4) + (IF(I64="SIM",1,0)*0.2) + (IF(J64="SIM",1,0)*0.1) + (IF(K64="SIM",1,0)*0.2) + ((1-M64)*0.1),2)*10</f>
        <v>10.1</v>
      </c>
      <c r="O64" s="3" t="str">
        <f aca="false">IF(N64&gt;=8,"✅ Ótimo",IF(N64&gt;=6,"⚠️ Regular","❌ Crítico"))</f>
        <v>✅ Ótimo</v>
      </c>
    </row>
    <row r="65" customFormat="false" ht="15" hidden="false" customHeight="true" outlineLevel="0" collapsed="false">
      <c r="A65" s="6" t="s">
        <v>80</v>
      </c>
      <c r="B65" s="6" t="s">
        <v>81</v>
      </c>
      <c r="C65" s="6" t="s">
        <v>59</v>
      </c>
      <c r="D65" s="6" t="s">
        <v>52</v>
      </c>
      <c r="E65" s="6" t="s">
        <v>27</v>
      </c>
      <c r="F65" s="6" t="n">
        <v>96</v>
      </c>
      <c r="G65" s="6" t="n">
        <v>95</v>
      </c>
      <c r="H65" s="8" t="n">
        <f aca="false">G65/F65</f>
        <v>0.989583333333333</v>
      </c>
      <c r="I65" s="6" t="s">
        <v>106</v>
      </c>
      <c r="J65" s="6" t="s">
        <v>106</v>
      </c>
      <c r="K65" s="6" t="s">
        <v>106</v>
      </c>
      <c r="L65" s="6" t="n">
        <v>2</v>
      </c>
      <c r="M65" s="8" t="n">
        <f aca="false">L65/10</f>
        <v>0.2</v>
      </c>
      <c r="N65" s="6" t="n">
        <f aca="false">ROUND((H65*0.4) + (IF(I65="SIM",1,0)*0.2) + (IF(J65="SIM",1,0)*0.1) + (IF(K65="SIM",1,0)*0.2) + ((1-M65)*0.1),2)*10</f>
        <v>9.8</v>
      </c>
      <c r="O65" s="6" t="str">
        <f aca="false">IF(N65&gt;=8,"✅ Ótimo",IF(N65&gt;=6,"⚠️ Regular","❌ Crítico"))</f>
        <v>✅ Ótimo</v>
      </c>
    </row>
    <row r="66" customFormat="false" ht="15" hidden="false" customHeight="true" outlineLevel="0" collapsed="false">
      <c r="A66" s="3" t="s">
        <v>80</v>
      </c>
      <c r="B66" s="3" t="s">
        <v>81</v>
      </c>
      <c r="C66" s="3" t="s">
        <v>59</v>
      </c>
      <c r="D66" s="3" t="s">
        <v>52</v>
      </c>
      <c r="E66" s="3" t="s">
        <v>28</v>
      </c>
      <c r="F66" s="3" t="n">
        <v>116</v>
      </c>
      <c r="G66" s="3" t="n">
        <v>74</v>
      </c>
      <c r="H66" s="5" t="n">
        <f aca="false">G66/F66</f>
        <v>0.637931034482759</v>
      </c>
      <c r="I66" s="3" t="s">
        <v>106</v>
      </c>
      <c r="J66" s="3" t="s">
        <v>105</v>
      </c>
      <c r="K66" s="3" t="s">
        <v>105</v>
      </c>
      <c r="L66" s="3" t="n">
        <v>3</v>
      </c>
      <c r="M66" s="5" t="n">
        <f aca="false">L66/10</f>
        <v>0.3</v>
      </c>
      <c r="N66" s="3" t="n">
        <f aca="false">ROUND((H66*0.4) + (IF(I66="SIM",1,0)*0.2) + (IF(J66="SIM",1,0)*0.1) + (IF(K66="SIM",1,0)*0.2) + ((1-M66)*0.1),2)*10</f>
        <v>5.3</v>
      </c>
      <c r="O66" s="3" t="str">
        <f aca="false">IF(N66&gt;=8,"✅ Ótimo",IF(N66&gt;=6,"⚠️ Regular","❌ Crítico"))</f>
        <v>❌ Crítico</v>
      </c>
    </row>
    <row r="67" customFormat="false" ht="15" hidden="false" customHeight="true" outlineLevel="0" collapsed="false">
      <c r="A67" s="6" t="s">
        <v>80</v>
      </c>
      <c r="B67" s="6" t="s">
        <v>81</v>
      </c>
      <c r="C67" s="6" t="s">
        <v>59</v>
      </c>
      <c r="D67" s="6" t="s">
        <v>52</v>
      </c>
      <c r="E67" s="6" t="s">
        <v>29</v>
      </c>
      <c r="F67" s="6" t="n">
        <v>112</v>
      </c>
      <c r="G67" s="6" t="n">
        <v>91</v>
      </c>
      <c r="H67" s="8" t="n">
        <f aca="false">G67/F67</f>
        <v>0.8125</v>
      </c>
      <c r="I67" s="6" t="s">
        <v>106</v>
      </c>
      <c r="J67" s="6" t="s">
        <v>106</v>
      </c>
      <c r="K67" s="6" t="s">
        <v>106</v>
      </c>
      <c r="L67" s="6" t="n">
        <v>1</v>
      </c>
      <c r="M67" s="8" t="n">
        <f aca="false">L67/10</f>
        <v>0.1</v>
      </c>
      <c r="N67" s="6" t="n">
        <f aca="false">ROUND((H67*0.4) + (IF(I67="SIM",1,0)*0.2) + (IF(J67="SIM",1,0)*0.1) + (IF(K67="SIM",1,0)*0.2) + ((1-M67)*0.1),2)*10</f>
        <v>9.2</v>
      </c>
      <c r="O67" s="6" t="str">
        <f aca="false">IF(N67&gt;=8,"✅ Ótimo",IF(N67&gt;=6,"⚠️ Regular","❌ Crítico"))</f>
        <v>✅ Ótimo</v>
      </c>
    </row>
    <row r="68" customFormat="false" ht="15" hidden="false" customHeight="true" outlineLevel="0" collapsed="false">
      <c r="A68" s="3" t="s">
        <v>83</v>
      </c>
      <c r="B68" s="3" t="s">
        <v>84</v>
      </c>
      <c r="C68" s="3" t="s">
        <v>18</v>
      </c>
      <c r="D68" s="3" t="s">
        <v>56</v>
      </c>
      <c r="E68" s="3" t="s">
        <v>24</v>
      </c>
      <c r="F68" s="3" t="n">
        <v>88</v>
      </c>
      <c r="G68" s="3" t="n">
        <v>80</v>
      </c>
      <c r="H68" s="5" t="n">
        <f aca="false">G68/F68</f>
        <v>0.909090909090909</v>
      </c>
      <c r="I68" s="3" t="s">
        <v>106</v>
      </c>
      <c r="J68" s="3" t="s">
        <v>106</v>
      </c>
      <c r="K68" s="3" t="s">
        <v>106</v>
      </c>
      <c r="L68" s="3" t="n">
        <v>2</v>
      </c>
      <c r="M68" s="5" t="n">
        <f aca="false">L68/10</f>
        <v>0.2</v>
      </c>
      <c r="N68" s="3" t="n">
        <f aca="false">ROUND((H68*0.4) + (IF(I68="SIM",1,0)*0.2) + (IF(J68="SIM",1,0)*0.1) + (IF(K68="SIM",1,0)*0.2) + ((1-M68)*0.1),2)*10</f>
        <v>9.4</v>
      </c>
      <c r="O68" s="3" t="str">
        <f aca="false">IF(N68&gt;=8,"✅ Ótimo",IF(N68&gt;=6,"⚠️ Regular","❌ Crítico"))</f>
        <v>✅ Ótimo</v>
      </c>
    </row>
    <row r="69" customFormat="false" ht="15" hidden="false" customHeight="true" outlineLevel="0" collapsed="false">
      <c r="A69" s="6" t="s">
        <v>83</v>
      </c>
      <c r="B69" s="6" t="s">
        <v>84</v>
      </c>
      <c r="C69" s="6" t="s">
        <v>18</v>
      </c>
      <c r="D69" s="6" t="s">
        <v>56</v>
      </c>
      <c r="E69" s="6" t="s">
        <v>25</v>
      </c>
      <c r="F69" s="6" t="n">
        <v>104</v>
      </c>
      <c r="G69" s="6" t="n">
        <v>80</v>
      </c>
      <c r="H69" s="8" t="n">
        <f aca="false">G69/F69</f>
        <v>0.769230769230769</v>
      </c>
      <c r="I69" s="6" t="s">
        <v>105</v>
      </c>
      <c r="J69" s="6" t="s">
        <v>106</v>
      </c>
      <c r="K69" s="6" t="s">
        <v>106</v>
      </c>
      <c r="L69" s="6" t="n">
        <v>2</v>
      </c>
      <c r="M69" s="8" t="n">
        <f aca="false">L69/10</f>
        <v>0.2</v>
      </c>
      <c r="N69" s="6" t="n">
        <f aca="false">ROUND((H69*0.4) + (IF(I69="SIM",1,0)*0.2) + (IF(J69="SIM",1,0)*0.1) + (IF(K69="SIM",1,0)*0.2) + ((1-M69)*0.1),2)*10</f>
        <v>6.9</v>
      </c>
      <c r="O69" s="6" t="str">
        <f aca="false">IF(N69&gt;=8,"✅ Ótimo",IF(N69&gt;=6,"⚠️ Regular","❌ Crítico"))</f>
        <v>⚠️ Regular</v>
      </c>
    </row>
    <row r="70" customFormat="false" ht="15" hidden="false" customHeight="true" outlineLevel="0" collapsed="false">
      <c r="A70" s="3" t="s">
        <v>83</v>
      </c>
      <c r="B70" s="3" t="s">
        <v>84</v>
      </c>
      <c r="C70" s="3" t="s">
        <v>18</v>
      </c>
      <c r="D70" s="3" t="s">
        <v>56</v>
      </c>
      <c r="E70" s="3" t="s">
        <v>26</v>
      </c>
      <c r="F70" s="3" t="n">
        <v>117</v>
      </c>
      <c r="G70" s="3" t="n">
        <v>123</v>
      </c>
      <c r="H70" s="5" t="n">
        <f aca="false">G70/F70</f>
        <v>1.05128205128205</v>
      </c>
      <c r="I70" s="3" t="s">
        <v>106</v>
      </c>
      <c r="J70" s="3" t="s">
        <v>106</v>
      </c>
      <c r="K70" s="3" t="s">
        <v>106</v>
      </c>
      <c r="L70" s="3" t="n">
        <v>1</v>
      </c>
      <c r="M70" s="5" t="n">
        <f aca="false">L70/10</f>
        <v>0.1</v>
      </c>
      <c r="N70" s="3" t="n">
        <f aca="false">ROUND((H70*0.4) + (IF(I70="SIM",1,0)*0.2) + (IF(J70="SIM",1,0)*0.1) + (IF(K70="SIM",1,0)*0.2) + ((1-M70)*0.1),2)*10</f>
        <v>10.1</v>
      </c>
      <c r="O70" s="3" t="str">
        <f aca="false">IF(N70&gt;=8,"✅ Ótimo",IF(N70&gt;=6,"⚠️ Regular","❌ Crítico"))</f>
        <v>✅ Ótimo</v>
      </c>
    </row>
    <row r="71" customFormat="false" ht="15" hidden="false" customHeight="true" outlineLevel="0" collapsed="false">
      <c r="A71" s="6" t="s">
        <v>83</v>
      </c>
      <c r="B71" s="6" t="s">
        <v>84</v>
      </c>
      <c r="C71" s="6" t="s">
        <v>18</v>
      </c>
      <c r="D71" s="6" t="s">
        <v>56</v>
      </c>
      <c r="E71" s="6" t="s">
        <v>27</v>
      </c>
      <c r="F71" s="6" t="n">
        <v>83</v>
      </c>
      <c r="G71" s="6" t="n">
        <v>92</v>
      </c>
      <c r="H71" s="8" t="n">
        <f aca="false">G71/F71</f>
        <v>1.10843373493976</v>
      </c>
      <c r="I71" s="6" t="s">
        <v>106</v>
      </c>
      <c r="J71" s="6" t="s">
        <v>106</v>
      </c>
      <c r="K71" s="6" t="s">
        <v>106</v>
      </c>
      <c r="L71" s="6" t="n">
        <v>1</v>
      </c>
      <c r="M71" s="8" t="n">
        <f aca="false">L71/10</f>
        <v>0.1</v>
      </c>
      <c r="N71" s="6" t="n">
        <f aca="false">ROUND((H71*0.4) + (IF(I71="SIM",1,0)*0.2) + (IF(J71="SIM",1,0)*0.1) + (IF(K71="SIM",1,0)*0.2) + ((1-M71)*0.1),2)*10</f>
        <v>10.3</v>
      </c>
      <c r="O71" s="6" t="str">
        <f aca="false">IF(N71&gt;=8,"✅ Ótimo",IF(N71&gt;=6,"⚠️ Regular","❌ Crítico"))</f>
        <v>✅ Ótimo</v>
      </c>
    </row>
    <row r="72" customFormat="false" ht="15" hidden="false" customHeight="true" outlineLevel="0" collapsed="false">
      <c r="A72" s="3" t="s">
        <v>83</v>
      </c>
      <c r="B72" s="3" t="s">
        <v>84</v>
      </c>
      <c r="C72" s="3" t="s">
        <v>18</v>
      </c>
      <c r="D72" s="3" t="s">
        <v>56</v>
      </c>
      <c r="E72" s="3" t="s">
        <v>28</v>
      </c>
      <c r="F72" s="3" t="n">
        <v>105</v>
      </c>
      <c r="G72" s="3" t="n">
        <v>114</v>
      </c>
      <c r="H72" s="5" t="n">
        <f aca="false">G72/F72</f>
        <v>1.08571428571429</v>
      </c>
      <c r="I72" s="3" t="s">
        <v>106</v>
      </c>
      <c r="J72" s="3" t="s">
        <v>105</v>
      </c>
      <c r="K72" s="3" t="s">
        <v>106</v>
      </c>
      <c r="L72" s="3" t="n">
        <v>2</v>
      </c>
      <c r="M72" s="5" t="n">
        <f aca="false">L72/10</f>
        <v>0.2</v>
      </c>
      <c r="N72" s="3" t="n">
        <f aca="false">ROUND((H72*0.4) + (IF(I72="SIM",1,0)*0.2) + (IF(J72="SIM",1,0)*0.1) + (IF(K72="SIM",1,0)*0.2) + ((1-M72)*0.1),2)*10</f>
        <v>9.1</v>
      </c>
      <c r="O72" s="3" t="str">
        <f aca="false">IF(N72&gt;=8,"✅ Ótimo",IF(N72&gt;=6,"⚠️ Regular","❌ Crítico"))</f>
        <v>✅ Ótimo</v>
      </c>
    </row>
    <row r="73" customFormat="false" ht="15" hidden="false" customHeight="true" outlineLevel="0" collapsed="false">
      <c r="A73" s="6" t="s">
        <v>83</v>
      </c>
      <c r="B73" s="6" t="s">
        <v>84</v>
      </c>
      <c r="C73" s="6" t="s">
        <v>18</v>
      </c>
      <c r="D73" s="6" t="s">
        <v>56</v>
      </c>
      <c r="E73" s="6" t="s">
        <v>29</v>
      </c>
      <c r="F73" s="6" t="n">
        <v>103</v>
      </c>
      <c r="G73" s="6" t="n">
        <v>78</v>
      </c>
      <c r="H73" s="8" t="n">
        <f aca="false">G73/F73</f>
        <v>0.757281553398058</v>
      </c>
      <c r="I73" s="6" t="s">
        <v>106</v>
      </c>
      <c r="J73" s="6" t="s">
        <v>106</v>
      </c>
      <c r="K73" s="6" t="s">
        <v>105</v>
      </c>
      <c r="L73" s="6" t="n">
        <v>1</v>
      </c>
      <c r="M73" s="8" t="n">
        <f aca="false">L73/10</f>
        <v>0.1</v>
      </c>
      <c r="N73" s="6" t="n">
        <f aca="false">ROUND((H73*0.4) + (IF(I73="SIM",1,0)*0.2) + (IF(J73="SIM",1,0)*0.1) + (IF(K73="SIM",1,0)*0.2) + ((1-M73)*0.1),2)*10</f>
        <v>6.9</v>
      </c>
      <c r="O73" s="6" t="str">
        <f aca="false">IF(N73&gt;=8,"✅ Ótimo",IF(N73&gt;=6,"⚠️ Regular","❌ Crítico"))</f>
        <v>⚠️ Regular</v>
      </c>
    </row>
    <row r="74" customFormat="false" ht="15" hidden="false" customHeight="true" outlineLevel="0" collapsed="false">
      <c r="A74" s="3" t="s">
        <v>86</v>
      </c>
      <c r="B74" s="3" t="s">
        <v>87</v>
      </c>
      <c r="C74" s="3" t="s">
        <v>88</v>
      </c>
      <c r="D74" s="3" t="s">
        <v>20</v>
      </c>
      <c r="E74" s="3" t="s">
        <v>24</v>
      </c>
      <c r="F74" s="3" t="n">
        <v>109</v>
      </c>
      <c r="G74" s="3" t="n">
        <v>97</v>
      </c>
      <c r="H74" s="5" t="n">
        <f aca="false">G74/F74</f>
        <v>0.889908256880734</v>
      </c>
      <c r="I74" s="3" t="s">
        <v>105</v>
      </c>
      <c r="J74" s="3" t="s">
        <v>105</v>
      </c>
      <c r="K74" s="3" t="s">
        <v>105</v>
      </c>
      <c r="L74" s="3" t="n">
        <v>4</v>
      </c>
      <c r="M74" s="5" t="n">
        <f aca="false">L74/10</f>
        <v>0.4</v>
      </c>
      <c r="N74" s="3" t="n">
        <f aca="false">ROUND((H74*0.4) + (IF(I74="SIM",1,0)*0.2) + (IF(J74="SIM",1,0)*0.1) + (IF(K74="SIM",1,0)*0.2) + ((1-M74)*0.1),2)*10</f>
        <v>4.2</v>
      </c>
      <c r="O74" s="3" t="str">
        <f aca="false">IF(N74&gt;=8,"✅ Ótimo",IF(N74&gt;=6,"⚠️ Regular","❌ Crítico"))</f>
        <v>❌ Crítico</v>
      </c>
    </row>
    <row r="75" customFormat="false" ht="15" hidden="false" customHeight="true" outlineLevel="0" collapsed="false">
      <c r="A75" s="6" t="s">
        <v>86</v>
      </c>
      <c r="B75" s="6" t="s">
        <v>87</v>
      </c>
      <c r="C75" s="6" t="s">
        <v>88</v>
      </c>
      <c r="D75" s="6" t="s">
        <v>20</v>
      </c>
      <c r="E75" s="6" t="s">
        <v>25</v>
      </c>
      <c r="F75" s="6" t="n">
        <v>93</v>
      </c>
      <c r="G75" s="6" t="n">
        <v>98</v>
      </c>
      <c r="H75" s="8" t="n">
        <f aca="false">G75/F75</f>
        <v>1.05376344086022</v>
      </c>
      <c r="I75" s="6" t="s">
        <v>106</v>
      </c>
      <c r="J75" s="6" t="s">
        <v>105</v>
      </c>
      <c r="K75" s="6" t="s">
        <v>106</v>
      </c>
      <c r="L75" s="6" t="n">
        <v>4</v>
      </c>
      <c r="M75" s="8" t="n">
        <f aca="false">L75/10</f>
        <v>0.4</v>
      </c>
      <c r="N75" s="6" t="n">
        <f aca="false">ROUND((H75*0.4) + (IF(I75="SIM",1,0)*0.2) + (IF(J75="SIM",1,0)*0.1) + (IF(K75="SIM",1,0)*0.2) + ((1-M75)*0.1),2)*10</f>
        <v>8.8</v>
      </c>
      <c r="O75" s="6" t="str">
        <f aca="false">IF(N75&gt;=8,"✅ Ótimo",IF(N75&gt;=6,"⚠️ Regular","❌ Crítico"))</f>
        <v>✅ Ótimo</v>
      </c>
    </row>
    <row r="76" customFormat="false" ht="15" hidden="false" customHeight="true" outlineLevel="0" collapsed="false">
      <c r="A76" s="3" t="s">
        <v>86</v>
      </c>
      <c r="B76" s="3" t="s">
        <v>87</v>
      </c>
      <c r="C76" s="3" t="s">
        <v>88</v>
      </c>
      <c r="D76" s="3" t="s">
        <v>20</v>
      </c>
      <c r="E76" s="3" t="s">
        <v>26</v>
      </c>
      <c r="F76" s="3" t="n">
        <v>108</v>
      </c>
      <c r="G76" s="3" t="n">
        <v>117</v>
      </c>
      <c r="H76" s="5" t="n">
        <f aca="false">G76/F76</f>
        <v>1.08333333333333</v>
      </c>
      <c r="I76" s="3" t="s">
        <v>106</v>
      </c>
      <c r="J76" s="3" t="s">
        <v>106</v>
      </c>
      <c r="K76" s="3" t="s">
        <v>106</v>
      </c>
      <c r="L76" s="3" t="n">
        <v>0</v>
      </c>
      <c r="M76" s="5" t="n">
        <f aca="false">L76/10</f>
        <v>0</v>
      </c>
      <c r="N76" s="3" t="n">
        <f aca="false">ROUND((H76*0.4) + (IF(I76="SIM",1,0)*0.2) + (IF(J76="SIM",1,0)*0.1) + (IF(K76="SIM",1,0)*0.2) + ((1-M76)*0.1),2)*10</f>
        <v>10.3</v>
      </c>
      <c r="O76" s="3" t="str">
        <f aca="false">IF(N76&gt;=8,"✅ Ótimo",IF(N76&gt;=6,"⚠️ Regular","❌ Crítico"))</f>
        <v>✅ Ótimo</v>
      </c>
    </row>
    <row r="77" customFormat="false" ht="15" hidden="false" customHeight="true" outlineLevel="0" collapsed="false">
      <c r="A77" s="6" t="s">
        <v>86</v>
      </c>
      <c r="B77" s="6" t="s">
        <v>87</v>
      </c>
      <c r="C77" s="6" t="s">
        <v>88</v>
      </c>
      <c r="D77" s="6" t="s">
        <v>20</v>
      </c>
      <c r="E77" s="6" t="s">
        <v>27</v>
      </c>
      <c r="F77" s="6" t="n">
        <v>115</v>
      </c>
      <c r="G77" s="6" t="n">
        <v>114</v>
      </c>
      <c r="H77" s="8" t="n">
        <f aca="false">G77/F77</f>
        <v>0.991304347826087</v>
      </c>
      <c r="I77" s="6" t="s">
        <v>106</v>
      </c>
      <c r="J77" s="6" t="s">
        <v>105</v>
      </c>
      <c r="K77" s="6" t="s">
        <v>106</v>
      </c>
      <c r="L77" s="6" t="n">
        <v>1</v>
      </c>
      <c r="M77" s="8" t="n">
        <f aca="false">L77/10</f>
        <v>0.1</v>
      </c>
      <c r="N77" s="6" t="n">
        <f aca="false">ROUND((H77*0.4) + (IF(I77="SIM",1,0)*0.2) + (IF(J77="SIM",1,0)*0.1) + (IF(K77="SIM",1,0)*0.2) + ((1-M77)*0.1),2)*10</f>
        <v>8.9</v>
      </c>
      <c r="O77" s="6" t="str">
        <f aca="false">IF(N77&gt;=8,"✅ Ótimo",IF(N77&gt;=6,"⚠️ Regular","❌ Crítico"))</f>
        <v>✅ Ótimo</v>
      </c>
    </row>
    <row r="78" customFormat="false" ht="15" hidden="false" customHeight="true" outlineLevel="0" collapsed="false">
      <c r="A78" s="3" t="s">
        <v>86</v>
      </c>
      <c r="B78" s="3" t="s">
        <v>87</v>
      </c>
      <c r="C78" s="3" t="s">
        <v>88</v>
      </c>
      <c r="D78" s="3" t="s">
        <v>20</v>
      </c>
      <c r="E78" s="3" t="s">
        <v>28</v>
      </c>
      <c r="F78" s="3" t="n">
        <v>100</v>
      </c>
      <c r="G78" s="3" t="n">
        <v>104</v>
      </c>
      <c r="H78" s="5" t="n">
        <f aca="false">G78/F78</f>
        <v>1.04</v>
      </c>
      <c r="I78" s="3" t="s">
        <v>105</v>
      </c>
      <c r="J78" s="3" t="s">
        <v>106</v>
      </c>
      <c r="K78" s="3" t="s">
        <v>106</v>
      </c>
      <c r="L78" s="3" t="n">
        <v>4</v>
      </c>
      <c r="M78" s="5" t="n">
        <f aca="false">L78/10</f>
        <v>0.4</v>
      </c>
      <c r="N78" s="3" t="n">
        <f aca="false">ROUND((H78*0.4) + (IF(I78="SIM",1,0)*0.2) + (IF(J78="SIM",1,0)*0.1) + (IF(K78="SIM",1,0)*0.2) + ((1-M78)*0.1),2)*10</f>
        <v>7.8</v>
      </c>
      <c r="O78" s="3" t="str">
        <f aca="false">IF(N78&gt;=8,"✅ Ótimo",IF(N78&gt;=6,"⚠️ Regular","❌ Crítico"))</f>
        <v>⚠️ Regular</v>
      </c>
    </row>
    <row r="79" customFormat="false" ht="15" hidden="false" customHeight="true" outlineLevel="0" collapsed="false">
      <c r="A79" s="6" t="s">
        <v>86</v>
      </c>
      <c r="B79" s="6" t="s">
        <v>87</v>
      </c>
      <c r="C79" s="6" t="s">
        <v>88</v>
      </c>
      <c r="D79" s="6" t="s">
        <v>20</v>
      </c>
      <c r="E79" s="6" t="s">
        <v>29</v>
      </c>
      <c r="F79" s="6" t="n">
        <v>111</v>
      </c>
      <c r="G79" s="6" t="n">
        <v>61</v>
      </c>
      <c r="H79" s="8" t="n">
        <f aca="false">G79/F79</f>
        <v>0.54954954954955</v>
      </c>
      <c r="I79" s="6" t="s">
        <v>105</v>
      </c>
      <c r="J79" s="6" t="s">
        <v>106</v>
      </c>
      <c r="K79" s="6" t="s">
        <v>105</v>
      </c>
      <c r="L79" s="6" t="n">
        <v>1</v>
      </c>
      <c r="M79" s="8" t="n">
        <f aca="false">L79/10</f>
        <v>0.1</v>
      </c>
      <c r="N79" s="6" t="n">
        <f aca="false">ROUND((H79*0.4) + (IF(I79="SIM",1,0)*0.2) + (IF(J79="SIM",1,0)*0.1) + (IF(K79="SIM",1,0)*0.2) + ((1-M79)*0.1),2)*10</f>
        <v>4.1</v>
      </c>
      <c r="O79" s="6" t="str">
        <f aca="false">IF(N79&gt;=8,"✅ Ótimo",IF(N79&gt;=6,"⚠️ Regular","❌ Crítico"))</f>
        <v>❌ Crítico</v>
      </c>
    </row>
    <row r="80" customFormat="false" ht="15" hidden="false" customHeight="true" outlineLevel="0" collapsed="false">
      <c r="A80" s="3" t="s">
        <v>89</v>
      </c>
      <c r="B80" s="3" t="s">
        <v>90</v>
      </c>
      <c r="C80" s="3" t="s">
        <v>18</v>
      </c>
      <c r="D80" s="3" t="s">
        <v>52</v>
      </c>
      <c r="E80" s="3" t="s">
        <v>24</v>
      </c>
      <c r="F80" s="3" t="n">
        <v>112</v>
      </c>
      <c r="G80" s="3" t="n">
        <v>103</v>
      </c>
      <c r="H80" s="5" t="n">
        <f aca="false">G80/F80</f>
        <v>0.919642857142857</v>
      </c>
      <c r="I80" s="3" t="s">
        <v>105</v>
      </c>
      <c r="J80" s="3" t="s">
        <v>105</v>
      </c>
      <c r="K80" s="3" t="s">
        <v>106</v>
      </c>
      <c r="L80" s="3" t="n">
        <v>4</v>
      </c>
      <c r="M80" s="5" t="n">
        <f aca="false">L80/10</f>
        <v>0.4</v>
      </c>
      <c r="N80" s="3" t="n">
        <f aca="false">ROUND((H80*0.4) + (IF(I80="SIM",1,0)*0.2) + (IF(J80="SIM",1,0)*0.1) + (IF(K80="SIM",1,0)*0.2) + ((1-M80)*0.1),2)*10</f>
        <v>6.3</v>
      </c>
      <c r="O80" s="3" t="str">
        <f aca="false">IF(N80&gt;=8,"✅ Ótimo",IF(N80&gt;=6,"⚠️ Regular","❌ Crítico"))</f>
        <v>⚠️ Regular</v>
      </c>
    </row>
    <row r="81" customFormat="false" ht="15" hidden="false" customHeight="true" outlineLevel="0" collapsed="false">
      <c r="A81" s="6" t="s">
        <v>89</v>
      </c>
      <c r="B81" s="6" t="s">
        <v>90</v>
      </c>
      <c r="C81" s="6" t="s">
        <v>18</v>
      </c>
      <c r="D81" s="6" t="s">
        <v>52</v>
      </c>
      <c r="E81" s="6" t="s">
        <v>25</v>
      </c>
      <c r="F81" s="6" t="n">
        <v>109</v>
      </c>
      <c r="G81" s="6" t="n">
        <v>89</v>
      </c>
      <c r="H81" s="8" t="n">
        <f aca="false">G81/F81</f>
        <v>0.81651376146789</v>
      </c>
      <c r="I81" s="6" t="s">
        <v>106</v>
      </c>
      <c r="J81" s="6" t="s">
        <v>106</v>
      </c>
      <c r="K81" s="6" t="s">
        <v>106</v>
      </c>
      <c r="L81" s="6" t="n">
        <v>0</v>
      </c>
      <c r="M81" s="8" t="n">
        <f aca="false">L81/10</f>
        <v>0</v>
      </c>
      <c r="N81" s="6" t="n">
        <f aca="false">ROUND((H81*0.4) + (IF(I81="SIM",1,0)*0.2) + (IF(J81="SIM",1,0)*0.1) + (IF(K81="SIM",1,0)*0.2) + ((1-M81)*0.1),2)*10</f>
        <v>9.3</v>
      </c>
      <c r="O81" s="6" t="str">
        <f aca="false">IF(N81&gt;=8,"✅ Ótimo",IF(N81&gt;=6,"⚠️ Regular","❌ Crítico"))</f>
        <v>✅ Ótimo</v>
      </c>
    </row>
    <row r="82" customFormat="false" ht="15" hidden="false" customHeight="true" outlineLevel="0" collapsed="false">
      <c r="A82" s="3" t="s">
        <v>89</v>
      </c>
      <c r="B82" s="3" t="s">
        <v>90</v>
      </c>
      <c r="C82" s="3" t="s">
        <v>18</v>
      </c>
      <c r="D82" s="3" t="s">
        <v>52</v>
      </c>
      <c r="E82" s="3" t="s">
        <v>26</v>
      </c>
      <c r="F82" s="3" t="n">
        <v>93</v>
      </c>
      <c r="G82" s="3" t="n">
        <v>87</v>
      </c>
      <c r="H82" s="5" t="n">
        <f aca="false">G82/F82</f>
        <v>0.935483870967742</v>
      </c>
      <c r="I82" s="3" t="s">
        <v>106</v>
      </c>
      <c r="J82" s="3" t="s">
        <v>106</v>
      </c>
      <c r="K82" s="3" t="s">
        <v>105</v>
      </c>
      <c r="L82" s="3" t="n">
        <v>2</v>
      </c>
      <c r="M82" s="5" t="n">
        <f aca="false">L82/10</f>
        <v>0.2</v>
      </c>
      <c r="N82" s="3" t="n">
        <f aca="false">ROUND((H82*0.4) + (IF(I82="SIM",1,0)*0.2) + (IF(J82="SIM",1,0)*0.1) + (IF(K82="SIM",1,0)*0.2) + ((1-M82)*0.1),2)*10</f>
        <v>7.5</v>
      </c>
      <c r="O82" s="3" t="str">
        <f aca="false">IF(N82&gt;=8,"✅ Ótimo",IF(N82&gt;=6,"⚠️ Regular","❌ Crítico"))</f>
        <v>⚠️ Regular</v>
      </c>
    </row>
    <row r="83" customFormat="false" ht="15" hidden="false" customHeight="true" outlineLevel="0" collapsed="false">
      <c r="A83" s="6" t="s">
        <v>89</v>
      </c>
      <c r="B83" s="6" t="s">
        <v>90</v>
      </c>
      <c r="C83" s="6" t="s">
        <v>18</v>
      </c>
      <c r="D83" s="6" t="s">
        <v>52</v>
      </c>
      <c r="E83" s="6" t="s">
        <v>27</v>
      </c>
      <c r="F83" s="6" t="n">
        <v>84</v>
      </c>
      <c r="G83" s="6" t="n">
        <v>84</v>
      </c>
      <c r="H83" s="8" t="n">
        <f aca="false">G83/F83</f>
        <v>1</v>
      </c>
      <c r="I83" s="6" t="s">
        <v>106</v>
      </c>
      <c r="J83" s="6" t="s">
        <v>106</v>
      </c>
      <c r="K83" s="6" t="s">
        <v>105</v>
      </c>
      <c r="L83" s="6" t="n">
        <v>0</v>
      </c>
      <c r="M83" s="8" t="n">
        <f aca="false">L83/10</f>
        <v>0</v>
      </c>
      <c r="N83" s="6" t="n">
        <f aca="false">ROUND((H83*0.4) + (IF(I83="SIM",1,0)*0.2) + (IF(J83="SIM",1,0)*0.1) + (IF(K83="SIM",1,0)*0.2) + ((1-M83)*0.1),2)*10</f>
        <v>8</v>
      </c>
      <c r="O83" s="6" t="str">
        <f aca="false">IF(N83&gt;=8,"✅ Ótimo",IF(N83&gt;=6,"⚠️ Regular","❌ Crítico"))</f>
        <v>✅ Ótimo</v>
      </c>
    </row>
    <row r="84" customFormat="false" ht="15" hidden="false" customHeight="true" outlineLevel="0" collapsed="false">
      <c r="A84" s="3" t="s">
        <v>89</v>
      </c>
      <c r="B84" s="3" t="s">
        <v>90</v>
      </c>
      <c r="C84" s="3" t="s">
        <v>18</v>
      </c>
      <c r="D84" s="3" t="s">
        <v>52</v>
      </c>
      <c r="E84" s="3" t="s">
        <v>28</v>
      </c>
      <c r="F84" s="3" t="n">
        <v>98</v>
      </c>
      <c r="G84" s="3" t="n">
        <v>76</v>
      </c>
      <c r="H84" s="5" t="n">
        <f aca="false">G84/F84</f>
        <v>0.775510204081633</v>
      </c>
      <c r="I84" s="3" t="s">
        <v>106</v>
      </c>
      <c r="J84" s="3" t="s">
        <v>106</v>
      </c>
      <c r="K84" s="3" t="s">
        <v>105</v>
      </c>
      <c r="L84" s="3" t="n">
        <v>2</v>
      </c>
      <c r="M84" s="5" t="n">
        <f aca="false">L84/10</f>
        <v>0.2</v>
      </c>
      <c r="N84" s="3" t="n">
        <f aca="false">ROUND((H84*0.4) + (IF(I84="SIM",1,0)*0.2) + (IF(J84="SIM",1,0)*0.1) + (IF(K84="SIM",1,0)*0.2) + ((1-M84)*0.1),2)*10</f>
        <v>6.9</v>
      </c>
      <c r="O84" s="3" t="str">
        <f aca="false">IF(N84&gt;=8,"✅ Ótimo",IF(N84&gt;=6,"⚠️ Regular","❌ Crítico"))</f>
        <v>⚠️ Regular</v>
      </c>
    </row>
    <row r="85" customFormat="false" ht="15" hidden="false" customHeight="true" outlineLevel="0" collapsed="false">
      <c r="A85" s="6" t="s">
        <v>89</v>
      </c>
      <c r="B85" s="6" t="s">
        <v>90</v>
      </c>
      <c r="C85" s="6" t="s">
        <v>18</v>
      </c>
      <c r="D85" s="6" t="s">
        <v>52</v>
      </c>
      <c r="E85" s="6" t="s">
        <v>29</v>
      </c>
      <c r="F85" s="6" t="n">
        <v>104</v>
      </c>
      <c r="G85" s="6" t="n">
        <v>107</v>
      </c>
      <c r="H85" s="8" t="n">
        <f aca="false">G85/F85</f>
        <v>1.02884615384615</v>
      </c>
      <c r="I85" s="6" t="s">
        <v>105</v>
      </c>
      <c r="J85" s="6" t="s">
        <v>106</v>
      </c>
      <c r="K85" s="6" t="s">
        <v>106</v>
      </c>
      <c r="L85" s="6" t="n">
        <v>4</v>
      </c>
      <c r="M85" s="8" t="n">
        <f aca="false">L85/10</f>
        <v>0.4</v>
      </c>
      <c r="N85" s="6" t="n">
        <f aca="false">ROUND((H85*0.4) + (IF(I85="SIM",1,0)*0.2) + (IF(J85="SIM",1,0)*0.1) + (IF(K85="SIM",1,0)*0.2) + ((1-M85)*0.1),2)*10</f>
        <v>7.7</v>
      </c>
      <c r="O85" s="6" t="str">
        <f aca="false">IF(N85&gt;=8,"✅ Ótimo",IF(N85&gt;=6,"⚠️ Regular","❌ Crítico"))</f>
        <v>⚠️ Regular</v>
      </c>
    </row>
    <row r="86" customFormat="false" ht="15" hidden="false" customHeight="true" outlineLevel="0" collapsed="false">
      <c r="A86" s="3" t="s">
        <v>92</v>
      </c>
      <c r="B86" s="3" t="s">
        <v>93</v>
      </c>
      <c r="C86" s="3" t="s">
        <v>59</v>
      </c>
      <c r="D86" s="3" t="s">
        <v>61</v>
      </c>
      <c r="E86" s="3" t="s">
        <v>24</v>
      </c>
      <c r="F86" s="3" t="n">
        <v>88</v>
      </c>
      <c r="G86" s="3" t="n">
        <v>91</v>
      </c>
      <c r="H86" s="5" t="n">
        <f aca="false">G86/F86</f>
        <v>1.03409090909091</v>
      </c>
      <c r="I86" s="3" t="s">
        <v>106</v>
      </c>
      <c r="J86" s="3" t="s">
        <v>106</v>
      </c>
      <c r="K86" s="3" t="s">
        <v>106</v>
      </c>
      <c r="L86" s="3" t="n">
        <v>4</v>
      </c>
      <c r="M86" s="5" t="n">
        <f aca="false">L86/10</f>
        <v>0.4</v>
      </c>
      <c r="N86" s="3" t="n">
        <f aca="false">ROUND((H86*0.4) + (IF(I86="SIM",1,0)*0.2) + (IF(J86="SIM",1,0)*0.1) + (IF(K86="SIM",1,0)*0.2) + ((1-M86)*0.1),2)*10</f>
        <v>9.7</v>
      </c>
      <c r="O86" s="3" t="str">
        <f aca="false">IF(N86&gt;=8,"✅ Ótimo",IF(N86&gt;=6,"⚠️ Regular","❌ Crítico"))</f>
        <v>✅ Ótimo</v>
      </c>
    </row>
    <row r="87" customFormat="false" ht="15" hidden="false" customHeight="true" outlineLevel="0" collapsed="false">
      <c r="A87" s="6" t="s">
        <v>92</v>
      </c>
      <c r="B87" s="6" t="s">
        <v>93</v>
      </c>
      <c r="C87" s="6" t="s">
        <v>59</v>
      </c>
      <c r="D87" s="6" t="s">
        <v>61</v>
      </c>
      <c r="E87" s="6" t="s">
        <v>25</v>
      </c>
      <c r="F87" s="6" t="n">
        <v>105</v>
      </c>
      <c r="G87" s="6" t="n">
        <v>66</v>
      </c>
      <c r="H87" s="8" t="n">
        <f aca="false">G87/F87</f>
        <v>0.628571428571429</v>
      </c>
      <c r="I87" s="6" t="s">
        <v>106</v>
      </c>
      <c r="J87" s="6" t="s">
        <v>106</v>
      </c>
      <c r="K87" s="6" t="s">
        <v>106</v>
      </c>
      <c r="L87" s="6" t="n">
        <v>2</v>
      </c>
      <c r="M87" s="8" t="n">
        <f aca="false">L87/10</f>
        <v>0.2</v>
      </c>
      <c r="N87" s="6" t="n">
        <f aca="false">ROUND((H87*0.4) + (IF(I87="SIM",1,0)*0.2) + (IF(J87="SIM",1,0)*0.1) + (IF(K87="SIM",1,0)*0.2) + ((1-M87)*0.1),2)*10</f>
        <v>8.3</v>
      </c>
      <c r="O87" s="6" t="str">
        <f aca="false">IF(N87&gt;=8,"✅ Ótimo",IF(N87&gt;=6,"⚠️ Regular","❌ Crítico"))</f>
        <v>✅ Ótimo</v>
      </c>
    </row>
    <row r="88" customFormat="false" ht="15" hidden="false" customHeight="true" outlineLevel="0" collapsed="false">
      <c r="A88" s="3" t="s">
        <v>92</v>
      </c>
      <c r="B88" s="3" t="s">
        <v>93</v>
      </c>
      <c r="C88" s="3" t="s">
        <v>59</v>
      </c>
      <c r="D88" s="3" t="s">
        <v>61</v>
      </c>
      <c r="E88" s="3" t="s">
        <v>26</v>
      </c>
      <c r="F88" s="3" t="n">
        <v>109</v>
      </c>
      <c r="G88" s="3" t="n">
        <v>119</v>
      </c>
      <c r="H88" s="5" t="n">
        <f aca="false">G88/F88</f>
        <v>1.09174311926606</v>
      </c>
      <c r="I88" s="3" t="s">
        <v>105</v>
      </c>
      <c r="J88" s="3" t="s">
        <v>105</v>
      </c>
      <c r="K88" s="3" t="s">
        <v>105</v>
      </c>
      <c r="L88" s="3" t="n">
        <v>1</v>
      </c>
      <c r="M88" s="5" t="n">
        <f aca="false">L88/10</f>
        <v>0.1</v>
      </c>
      <c r="N88" s="3" t="n">
        <f aca="false">ROUND((H88*0.4) + (IF(I88="SIM",1,0)*0.2) + (IF(J88="SIM",1,0)*0.1) + (IF(K88="SIM",1,0)*0.2) + ((1-M88)*0.1),2)*10</f>
        <v>5.3</v>
      </c>
      <c r="O88" s="3" t="str">
        <f aca="false">IF(N88&gt;=8,"✅ Ótimo",IF(N88&gt;=6,"⚠️ Regular","❌ Crítico"))</f>
        <v>❌ Crítico</v>
      </c>
    </row>
    <row r="89" customFormat="false" ht="15" hidden="false" customHeight="true" outlineLevel="0" collapsed="false">
      <c r="A89" s="6" t="s">
        <v>92</v>
      </c>
      <c r="B89" s="6" t="s">
        <v>93</v>
      </c>
      <c r="C89" s="6" t="s">
        <v>59</v>
      </c>
      <c r="D89" s="6" t="s">
        <v>61</v>
      </c>
      <c r="E89" s="6" t="s">
        <v>27</v>
      </c>
      <c r="F89" s="6" t="n">
        <v>95</v>
      </c>
      <c r="G89" s="6" t="n">
        <v>79</v>
      </c>
      <c r="H89" s="8" t="n">
        <f aca="false">G89/F89</f>
        <v>0.831578947368421</v>
      </c>
      <c r="I89" s="6" t="s">
        <v>106</v>
      </c>
      <c r="J89" s="6" t="s">
        <v>106</v>
      </c>
      <c r="K89" s="6" t="s">
        <v>106</v>
      </c>
      <c r="L89" s="6" t="n">
        <v>1</v>
      </c>
      <c r="M89" s="8" t="n">
        <f aca="false">L89/10</f>
        <v>0.1</v>
      </c>
      <c r="N89" s="6" t="n">
        <f aca="false">ROUND((H89*0.4) + (IF(I89="SIM",1,0)*0.2) + (IF(J89="SIM",1,0)*0.1) + (IF(K89="SIM",1,0)*0.2) + ((1-M89)*0.1),2)*10</f>
        <v>9.2</v>
      </c>
      <c r="O89" s="6" t="str">
        <f aca="false">IF(N89&gt;=8,"✅ Ótimo",IF(N89&gt;=6,"⚠️ Regular","❌ Crítico"))</f>
        <v>✅ Ótimo</v>
      </c>
    </row>
    <row r="90" customFormat="false" ht="15" hidden="false" customHeight="true" outlineLevel="0" collapsed="false">
      <c r="A90" s="3" t="s">
        <v>92</v>
      </c>
      <c r="B90" s="3" t="s">
        <v>93</v>
      </c>
      <c r="C90" s="3" t="s">
        <v>59</v>
      </c>
      <c r="D90" s="3" t="s">
        <v>61</v>
      </c>
      <c r="E90" s="3" t="s">
        <v>28</v>
      </c>
      <c r="F90" s="3" t="n">
        <v>87</v>
      </c>
      <c r="G90" s="3" t="n">
        <v>52</v>
      </c>
      <c r="H90" s="5" t="n">
        <f aca="false">G90/F90</f>
        <v>0.597701149425287</v>
      </c>
      <c r="I90" s="3" t="s">
        <v>105</v>
      </c>
      <c r="J90" s="3" t="s">
        <v>105</v>
      </c>
      <c r="K90" s="3" t="s">
        <v>106</v>
      </c>
      <c r="L90" s="3" t="n">
        <v>1</v>
      </c>
      <c r="M90" s="5" t="n">
        <f aca="false">L90/10</f>
        <v>0.1</v>
      </c>
      <c r="N90" s="3" t="n">
        <f aca="false">ROUND((H90*0.4) + (IF(I90="SIM",1,0)*0.2) + (IF(J90="SIM",1,0)*0.1) + (IF(K90="SIM",1,0)*0.2) + ((1-M90)*0.1),2)*10</f>
        <v>5.3</v>
      </c>
      <c r="O90" s="3" t="str">
        <f aca="false">IF(N90&gt;=8,"✅ Ótimo",IF(N90&gt;=6,"⚠️ Regular","❌ Crítico"))</f>
        <v>❌ Crítico</v>
      </c>
    </row>
    <row r="91" customFormat="false" ht="15" hidden="false" customHeight="true" outlineLevel="0" collapsed="false">
      <c r="A91" s="6" t="s">
        <v>92</v>
      </c>
      <c r="B91" s="6" t="s">
        <v>93</v>
      </c>
      <c r="C91" s="6" t="s">
        <v>59</v>
      </c>
      <c r="D91" s="6" t="s">
        <v>61</v>
      </c>
      <c r="E91" s="6" t="s">
        <v>29</v>
      </c>
      <c r="F91" s="6" t="n">
        <v>93</v>
      </c>
      <c r="G91" s="6" t="n">
        <v>54</v>
      </c>
      <c r="H91" s="8" t="n">
        <f aca="false">G91/F91</f>
        <v>0.580645161290323</v>
      </c>
      <c r="I91" s="6" t="s">
        <v>106</v>
      </c>
      <c r="J91" s="6" t="s">
        <v>105</v>
      </c>
      <c r="K91" s="6" t="s">
        <v>106</v>
      </c>
      <c r="L91" s="6" t="n">
        <v>3</v>
      </c>
      <c r="M91" s="8" t="n">
        <f aca="false">L91/10</f>
        <v>0.3</v>
      </c>
      <c r="N91" s="6" t="n">
        <f aca="false">ROUND((H91*0.4) + (IF(I91="SIM",1,0)*0.2) + (IF(J91="SIM",1,0)*0.1) + (IF(K91="SIM",1,0)*0.2) + ((1-M91)*0.1),2)*10</f>
        <v>7</v>
      </c>
      <c r="O91" s="6" t="str">
        <f aca="false">IF(N91&gt;=8,"✅ Ótimo",IF(N91&gt;=6,"⚠️ Regular","❌ Crítico"))</f>
        <v>⚠️ Regular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" min="5" style="1" width="24"/>
    <col collapsed="false" customWidth="true" hidden="false" outlineLevel="0" max="8" min="6" style="1" width="22"/>
    <col collapsed="false" customWidth="true" hidden="false" outlineLevel="0" max="9" min="9" style="1" width="20"/>
    <col collapsed="false" customWidth="true" hidden="false" outlineLevel="0" max="13" min="10" style="1" width="14"/>
    <col collapsed="false" customWidth="true" hidden="false" outlineLevel="0" max="14" min="14" style="1" width="16"/>
    <col collapsed="false" customWidth="true" hidden="false" outlineLevel="0" max="15" min="15" style="1" width="14"/>
  </cols>
  <sheetData>
    <row r="1" customFormat="false" ht="34.5" hidden="false" customHeight="true" outlineLevel="0" collapsed="false">
      <c r="A1" s="2" t="s">
        <v>0</v>
      </c>
      <c r="B1" s="2" t="s">
        <v>1</v>
      </c>
      <c r="C1" s="2" t="s">
        <v>10</v>
      </c>
      <c r="D1" s="2" t="s">
        <v>7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115</v>
      </c>
      <c r="N1" s="2" t="s">
        <v>116</v>
      </c>
      <c r="O1" s="2" t="s">
        <v>117</v>
      </c>
    </row>
    <row r="2" customFormat="false" ht="15" hidden="false" customHeight="true" outlineLevel="0" collapsed="false">
      <c r="A2" s="3" t="s">
        <v>16</v>
      </c>
      <c r="B2" s="3" t="s">
        <v>17</v>
      </c>
      <c r="C2" s="3" t="s">
        <v>24</v>
      </c>
      <c r="D2" s="3" t="s">
        <v>23</v>
      </c>
      <c r="E2" s="3" t="n">
        <v>449</v>
      </c>
      <c r="F2" s="3" t="n">
        <v>134</v>
      </c>
      <c r="G2" s="3" t="n">
        <v>70</v>
      </c>
      <c r="H2" s="3" t="n">
        <v>64</v>
      </c>
      <c r="I2" s="3" t="n">
        <v>181</v>
      </c>
      <c r="J2" s="5" t="n">
        <f aca="false">F2/E2</f>
        <v>0.298440979955457</v>
      </c>
      <c r="K2" s="5" t="n">
        <f aca="false">G2/E2</f>
        <v>0.155902004454343</v>
      </c>
      <c r="L2" s="5" t="n">
        <f aca="false">H2/E2</f>
        <v>0.142538975501114</v>
      </c>
      <c r="M2" s="5" t="n">
        <f aca="false">I2/E2</f>
        <v>0.403118040089087</v>
      </c>
      <c r="N2" s="5" t="n">
        <v>0.35</v>
      </c>
      <c r="O2" s="5" t="n">
        <f aca="false">J2-N2</f>
        <v>-0.0515590200445434</v>
      </c>
    </row>
    <row r="3" customFormat="false" ht="15" hidden="false" customHeight="true" outlineLevel="0" collapsed="false">
      <c r="A3" s="6" t="s">
        <v>16</v>
      </c>
      <c r="B3" s="6" t="s">
        <v>17</v>
      </c>
      <c r="C3" s="6" t="s">
        <v>24</v>
      </c>
      <c r="D3" s="6" t="s">
        <v>42</v>
      </c>
      <c r="E3" s="6" t="n">
        <v>457</v>
      </c>
      <c r="F3" s="6" t="n">
        <v>127</v>
      </c>
      <c r="G3" s="6" t="n">
        <v>136</v>
      </c>
      <c r="H3" s="6" t="n">
        <v>56</v>
      </c>
      <c r="I3" s="6" t="n">
        <v>138</v>
      </c>
      <c r="J3" s="8" t="n">
        <f aca="false">F3/E3</f>
        <v>0.277899343544858</v>
      </c>
      <c r="K3" s="8" t="n">
        <f aca="false">G3/E3</f>
        <v>0.297592997811816</v>
      </c>
      <c r="L3" s="8" t="n">
        <f aca="false">H3/E3</f>
        <v>0.12253829321663</v>
      </c>
      <c r="M3" s="8" t="n">
        <f aca="false">I3/E3</f>
        <v>0.301969365426696</v>
      </c>
      <c r="N3" s="8" t="n">
        <v>0.39</v>
      </c>
      <c r="O3" s="8" t="n">
        <f aca="false">J3-N3</f>
        <v>-0.112100656455142</v>
      </c>
    </row>
    <row r="4" customFormat="false" ht="15" hidden="false" customHeight="true" outlineLevel="0" collapsed="false">
      <c r="A4" s="3" t="s">
        <v>16</v>
      </c>
      <c r="B4" s="3" t="s">
        <v>17</v>
      </c>
      <c r="C4" s="3" t="s">
        <v>25</v>
      </c>
      <c r="D4" s="3" t="s">
        <v>23</v>
      </c>
      <c r="E4" s="3" t="n">
        <v>989</v>
      </c>
      <c r="F4" s="3" t="n">
        <v>310</v>
      </c>
      <c r="G4" s="3" t="n">
        <v>237</v>
      </c>
      <c r="H4" s="3" t="n">
        <v>165</v>
      </c>
      <c r="I4" s="3" t="n">
        <v>277</v>
      </c>
      <c r="J4" s="5" t="n">
        <f aca="false">F4/E4</f>
        <v>0.313447927199191</v>
      </c>
      <c r="K4" s="5" t="n">
        <f aca="false">G4/E4</f>
        <v>0.239635995955511</v>
      </c>
      <c r="L4" s="5" t="n">
        <f aca="false">H4/E4</f>
        <v>0.166835187057634</v>
      </c>
      <c r="M4" s="5" t="n">
        <f aca="false">I4/E4</f>
        <v>0.280080889787664</v>
      </c>
      <c r="N4" s="5" t="n">
        <v>0.33</v>
      </c>
      <c r="O4" s="5" t="n">
        <f aca="false">J4-N4</f>
        <v>-0.0165520728008089</v>
      </c>
    </row>
    <row r="5" customFormat="false" ht="15" hidden="false" customHeight="true" outlineLevel="0" collapsed="false">
      <c r="A5" s="6" t="s">
        <v>16</v>
      </c>
      <c r="B5" s="6" t="s">
        <v>17</v>
      </c>
      <c r="C5" s="6" t="s">
        <v>25</v>
      </c>
      <c r="D5" s="6" t="s">
        <v>42</v>
      </c>
      <c r="E5" s="6" t="n">
        <v>709</v>
      </c>
      <c r="F5" s="6" t="n">
        <v>301</v>
      </c>
      <c r="G5" s="6" t="n">
        <v>211</v>
      </c>
      <c r="H5" s="6" t="n">
        <v>107</v>
      </c>
      <c r="I5" s="6" t="n">
        <v>90</v>
      </c>
      <c r="J5" s="8" t="n">
        <f aca="false">F5/E5</f>
        <v>0.424541607898449</v>
      </c>
      <c r="K5" s="8" t="n">
        <f aca="false">G5/E5</f>
        <v>0.297602256699577</v>
      </c>
      <c r="L5" s="8" t="n">
        <f aca="false">H5/E5</f>
        <v>0.150916784203103</v>
      </c>
      <c r="M5" s="8" t="n">
        <f aca="false">I5/E5</f>
        <v>0.126939351198872</v>
      </c>
      <c r="N5" s="8" t="n">
        <v>0.34</v>
      </c>
      <c r="O5" s="8" t="n">
        <f aca="false">J5-N5</f>
        <v>0.0845416078984485</v>
      </c>
    </row>
    <row r="6" customFormat="false" ht="15" hidden="false" customHeight="true" outlineLevel="0" collapsed="false">
      <c r="A6" s="3" t="s">
        <v>16</v>
      </c>
      <c r="B6" s="3" t="s">
        <v>17</v>
      </c>
      <c r="C6" s="3" t="s">
        <v>26</v>
      </c>
      <c r="D6" s="3" t="s">
        <v>23</v>
      </c>
      <c r="E6" s="3" t="n">
        <v>681</v>
      </c>
      <c r="F6" s="3" t="n">
        <v>178</v>
      </c>
      <c r="G6" s="3" t="n">
        <v>199</v>
      </c>
      <c r="H6" s="3" t="n">
        <v>128</v>
      </c>
      <c r="I6" s="3" t="n">
        <v>176</v>
      </c>
      <c r="J6" s="5" t="n">
        <f aca="false">F6/E6</f>
        <v>0.261380323054332</v>
      </c>
      <c r="K6" s="5" t="n">
        <f aca="false">G6/E6</f>
        <v>0.292217327459618</v>
      </c>
      <c r="L6" s="5" t="n">
        <f aca="false">H6/E6</f>
        <v>0.187958883994126</v>
      </c>
      <c r="M6" s="5" t="n">
        <f aca="false">I6/E6</f>
        <v>0.258443465491924</v>
      </c>
      <c r="N6" s="5" t="n">
        <v>0.39</v>
      </c>
      <c r="O6" s="5" t="n">
        <f aca="false">J6-N6</f>
        <v>-0.128619676945668</v>
      </c>
    </row>
    <row r="7" customFormat="false" ht="15" hidden="false" customHeight="true" outlineLevel="0" collapsed="false">
      <c r="A7" s="6" t="s">
        <v>16</v>
      </c>
      <c r="B7" s="6" t="s">
        <v>17</v>
      </c>
      <c r="C7" s="6" t="s">
        <v>26</v>
      </c>
      <c r="D7" s="6" t="s">
        <v>42</v>
      </c>
      <c r="E7" s="6" t="n">
        <v>837</v>
      </c>
      <c r="F7" s="6" t="n">
        <v>302</v>
      </c>
      <c r="G7" s="6" t="n">
        <v>131</v>
      </c>
      <c r="H7" s="6" t="n">
        <v>112</v>
      </c>
      <c r="I7" s="6" t="n">
        <v>292</v>
      </c>
      <c r="J7" s="8" t="n">
        <f aca="false">F7/E7</f>
        <v>0.360812425328554</v>
      </c>
      <c r="K7" s="8" t="n">
        <f aca="false">G7/E7</f>
        <v>0.156511350059737</v>
      </c>
      <c r="L7" s="8" t="n">
        <f aca="false">H7/E7</f>
        <v>0.133811230585424</v>
      </c>
      <c r="M7" s="8" t="n">
        <f aca="false">I7/E7</f>
        <v>0.348864994026284</v>
      </c>
      <c r="N7" s="8" t="n">
        <v>0.36</v>
      </c>
      <c r="O7" s="8" t="n">
        <f aca="false">J7-N7</f>
        <v>0.000812425328554356</v>
      </c>
    </row>
    <row r="8" customFormat="false" ht="15" hidden="false" customHeight="true" outlineLevel="0" collapsed="false">
      <c r="A8" s="3" t="s">
        <v>16</v>
      </c>
      <c r="B8" s="3" t="s">
        <v>17</v>
      </c>
      <c r="C8" s="3" t="s">
        <v>27</v>
      </c>
      <c r="D8" s="3" t="s">
        <v>23</v>
      </c>
      <c r="E8" s="3" t="n">
        <v>790</v>
      </c>
      <c r="F8" s="3" t="n">
        <v>321</v>
      </c>
      <c r="G8" s="3" t="n">
        <v>156</v>
      </c>
      <c r="H8" s="3" t="n">
        <v>111</v>
      </c>
      <c r="I8" s="3" t="n">
        <v>202</v>
      </c>
      <c r="J8" s="5" t="n">
        <f aca="false">F8/E8</f>
        <v>0.406329113924051</v>
      </c>
      <c r="K8" s="5" t="n">
        <f aca="false">G8/E8</f>
        <v>0.19746835443038</v>
      </c>
      <c r="L8" s="5" t="n">
        <f aca="false">H8/E8</f>
        <v>0.140506329113924</v>
      </c>
      <c r="M8" s="5" t="n">
        <f aca="false">I8/E8</f>
        <v>0.255696202531646</v>
      </c>
      <c r="N8" s="5" t="n">
        <v>0.31</v>
      </c>
      <c r="O8" s="5" t="n">
        <f aca="false">J8-N8</f>
        <v>0.0963291139240506</v>
      </c>
    </row>
    <row r="9" customFormat="false" ht="15" hidden="false" customHeight="true" outlineLevel="0" collapsed="false">
      <c r="A9" s="6" t="s">
        <v>16</v>
      </c>
      <c r="B9" s="6" t="s">
        <v>17</v>
      </c>
      <c r="C9" s="6" t="s">
        <v>27</v>
      </c>
      <c r="D9" s="6" t="s">
        <v>42</v>
      </c>
      <c r="E9" s="6" t="n">
        <v>785</v>
      </c>
      <c r="F9" s="6" t="n">
        <v>225</v>
      </c>
      <c r="G9" s="6" t="n">
        <v>181</v>
      </c>
      <c r="H9" s="6" t="n">
        <v>97</v>
      </c>
      <c r="I9" s="6" t="n">
        <v>282</v>
      </c>
      <c r="J9" s="8" t="n">
        <f aca="false">F9/E9</f>
        <v>0.286624203821656</v>
      </c>
      <c r="K9" s="8" t="n">
        <f aca="false">G9/E9</f>
        <v>0.230573248407643</v>
      </c>
      <c r="L9" s="8" t="n">
        <f aca="false">H9/E9</f>
        <v>0.123566878980892</v>
      </c>
      <c r="M9" s="8" t="n">
        <f aca="false">I9/E9</f>
        <v>0.359235668789809</v>
      </c>
      <c r="N9" s="8" t="n">
        <v>0.32</v>
      </c>
      <c r="O9" s="8" t="n">
        <f aca="false">J9-N9</f>
        <v>-0.033375796178344</v>
      </c>
    </row>
    <row r="10" customFormat="false" ht="15" hidden="false" customHeight="true" outlineLevel="0" collapsed="false">
      <c r="A10" s="3" t="s">
        <v>16</v>
      </c>
      <c r="B10" s="3" t="s">
        <v>17</v>
      </c>
      <c r="C10" s="3" t="s">
        <v>28</v>
      </c>
      <c r="D10" s="3" t="s">
        <v>23</v>
      </c>
      <c r="E10" s="3" t="n">
        <v>547</v>
      </c>
      <c r="F10" s="3" t="n">
        <v>224</v>
      </c>
      <c r="G10" s="3" t="n">
        <v>157</v>
      </c>
      <c r="H10" s="3" t="n">
        <v>85</v>
      </c>
      <c r="I10" s="3" t="n">
        <v>81</v>
      </c>
      <c r="J10" s="5" t="n">
        <f aca="false">F10/E10</f>
        <v>0.409506398537477</v>
      </c>
      <c r="K10" s="5" t="n">
        <f aca="false">G10/E10</f>
        <v>0.287020109689214</v>
      </c>
      <c r="L10" s="5" t="n">
        <f aca="false">H10/E10</f>
        <v>0.155393053016453</v>
      </c>
      <c r="M10" s="5" t="n">
        <f aca="false">I10/E10</f>
        <v>0.148080438756856</v>
      </c>
      <c r="N10" s="5" t="n">
        <v>0.4</v>
      </c>
      <c r="O10" s="5" t="n">
        <f aca="false">J10-N10</f>
        <v>0.00950639853747715</v>
      </c>
    </row>
    <row r="11" customFormat="false" ht="15" hidden="false" customHeight="true" outlineLevel="0" collapsed="false">
      <c r="A11" s="6" t="s">
        <v>16</v>
      </c>
      <c r="B11" s="6" t="s">
        <v>17</v>
      </c>
      <c r="C11" s="6" t="s">
        <v>28</v>
      </c>
      <c r="D11" s="6" t="s">
        <v>42</v>
      </c>
      <c r="E11" s="6" t="n">
        <v>970</v>
      </c>
      <c r="F11" s="6" t="n">
        <v>345</v>
      </c>
      <c r="G11" s="6" t="n">
        <v>202</v>
      </c>
      <c r="H11" s="6" t="n">
        <v>121</v>
      </c>
      <c r="I11" s="6" t="n">
        <v>302</v>
      </c>
      <c r="J11" s="8" t="n">
        <f aca="false">F11/E11</f>
        <v>0.355670103092784</v>
      </c>
      <c r="K11" s="8" t="n">
        <f aca="false">G11/E11</f>
        <v>0.208247422680412</v>
      </c>
      <c r="L11" s="8" t="n">
        <f aca="false">H11/E11</f>
        <v>0.124742268041237</v>
      </c>
      <c r="M11" s="8" t="n">
        <f aca="false">I11/E11</f>
        <v>0.311340206185567</v>
      </c>
      <c r="N11" s="8" t="n">
        <v>0.33</v>
      </c>
      <c r="O11" s="8" t="n">
        <f aca="false">J11-N11</f>
        <v>0.0256701030927835</v>
      </c>
    </row>
    <row r="12" customFormat="false" ht="15" hidden="false" customHeight="true" outlineLevel="0" collapsed="false">
      <c r="A12" s="3" t="s">
        <v>16</v>
      </c>
      <c r="B12" s="3" t="s">
        <v>17</v>
      </c>
      <c r="C12" s="3" t="s">
        <v>29</v>
      </c>
      <c r="D12" s="3" t="s">
        <v>23</v>
      </c>
      <c r="E12" s="3" t="n">
        <v>480</v>
      </c>
      <c r="F12" s="3" t="n">
        <v>208</v>
      </c>
      <c r="G12" s="3" t="n">
        <v>132</v>
      </c>
      <c r="H12" s="3" t="n">
        <v>52</v>
      </c>
      <c r="I12" s="3" t="n">
        <v>88</v>
      </c>
      <c r="J12" s="5" t="n">
        <f aca="false">F12/E12</f>
        <v>0.433333333333333</v>
      </c>
      <c r="K12" s="5" t="n">
        <f aca="false">G12/E12</f>
        <v>0.275</v>
      </c>
      <c r="L12" s="5" t="n">
        <f aca="false">H12/E12</f>
        <v>0.108333333333333</v>
      </c>
      <c r="M12" s="5" t="n">
        <f aca="false">I12/E12</f>
        <v>0.183333333333333</v>
      </c>
      <c r="N12" s="5" t="n">
        <v>0.37</v>
      </c>
      <c r="O12" s="5" t="n">
        <f aca="false">J12-N12</f>
        <v>0.0633333333333334</v>
      </c>
    </row>
    <row r="13" customFormat="false" ht="15" hidden="false" customHeight="true" outlineLevel="0" collapsed="false">
      <c r="A13" s="6" t="s">
        <v>16</v>
      </c>
      <c r="B13" s="6" t="s">
        <v>17</v>
      </c>
      <c r="C13" s="6" t="s">
        <v>29</v>
      </c>
      <c r="D13" s="6" t="s">
        <v>42</v>
      </c>
      <c r="E13" s="6" t="n">
        <v>595</v>
      </c>
      <c r="F13" s="6" t="n">
        <v>154</v>
      </c>
      <c r="G13" s="6" t="n">
        <v>122</v>
      </c>
      <c r="H13" s="6" t="n">
        <v>95</v>
      </c>
      <c r="I13" s="6" t="n">
        <v>224</v>
      </c>
      <c r="J13" s="8" t="n">
        <f aca="false">F13/E13</f>
        <v>0.258823529411765</v>
      </c>
      <c r="K13" s="8" t="n">
        <f aca="false">G13/E13</f>
        <v>0.205042016806723</v>
      </c>
      <c r="L13" s="8" t="n">
        <f aca="false">H13/E13</f>
        <v>0.159663865546218</v>
      </c>
      <c r="M13" s="8" t="n">
        <f aca="false">I13/E13</f>
        <v>0.376470588235294</v>
      </c>
      <c r="N13" s="8" t="n">
        <v>0.3</v>
      </c>
      <c r="O13" s="8" t="n">
        <f aca="false">J13-N13</f>
        <v>-0.0411764705882353</v>
      </c>
    </row>
    <row r="14" customFormat="false" ht="15" hidden="false" customHeight="true" outlineLevel="0" collapsed="false">
      <c r="A14" s="3" t="s">
        <v>49</v>
      </c>
      <c r="B14" s="3" t="s">
        <v>50</v>
      </c>
      <c r="C14" s="3" t="s">
        <v>24</v>
      </c>
      <c r="D14" s="3" t="s">
        <v>23</v>
      </c>
      <c r="E14" s="3" t="n">
        <v>474</v>
      </c>
      <c r="F14" s="3" t="n">
        <v>136</v>
      </c>
      <c r="G14" s="3" t="n">
        <v>125</v>
      </c>
      <c r="H14" s="3" t="n">
        <v>81</v>
      </c>
      <c r="I14" s="3" t="n">
        <v>132</v>
      </c>
      <c r="J14" s="5" t="n">
        <f aca="false">F14/E14</f>
        <v>0.286919831223629</v>
      </c>
      <c r="K14" s="5" t="n">
        <f aca="false">G14/E14</f>
        <v>0.263713080168776</v>
      </c>
      <c r="L14" s="5" t="n">
        <f aca="false">H14/E14</f>
        <v>0.170886075949367</v>
      </c>
      <c r="M14" s="5" t="n">
        <f aca="false">I14/E14</f>
        <v>0.278481012658228</v>
      </c>
      <c r="N14" s="5" t="n">
        <v>0.36</v>
      </c>
      <c r="O14" s="5" t="n">
        <f aca="false">J14-N14</f>
        <v>-0.0730801687763713</v>
      </c>
    </row>
    <row r="15" customFormat="false" ht="15" hidden="false" customHeight="true" outlineLevel="0" collapsed="false">
      <c r="A15" s="6" t="s">
        <v>49</v>
      </c>
      <c r="B15" s="6" t="s">
        <v>50</v>
      </c>
      <c r="C15" s="6" t="s">
        <v>24</v>
      </c>
      <c r="D15" s="6" t="s">
        <v>42</v>
      </c>
      <c r="E15" s="6" t="n">
        <v>890</v>
      </c>
      <c r="F15" s="6" t="n">
        <v>259</v>
      </c>
      <c r="G15" s="6" t="n">
        <v>254</v>
      </c>
      <c r="H15" s="6" t="n">
        <v>115</v>
      </c>
      <c r="I15" s="6" t="n">
        <v>262</v>
      </c>
      <c r="J15" s="8" t="n">
        <f aca="false">F15/E15</f>
        <v>0.291011235955056</v>
      </c>
      <c r="K15" s="8" t="n">
        <f aca="false">G15/E15</f>
        <v>0.285393258426966</v>
      </c>
      <c r="L15" s="8" t="n">
        <f aca="false">H15/E15</f>
        <v>0.129213483146067</v>
      </c>
      <c r="M15" s="8" t="n">
        <f aca="false">I15/E15</f>
        <v>0.29438202247191</v>
      </c>
      <c r="N15" s="8" t="n">
        <v>0.39</v>
      </c>
      <c r="O15" s="8" t="n">
        <f aca="false">J15-N15</f>
        <v>-0.0989887640449438</v>
      </c>
    </row>
    <row r="16" customFormat="false" ht="15" hidden="false" customHeight="true" outlineLevel="0" collapsed="false">
      <c r="A16" s="3" t="s">
        <v>49</v>
      </c>
      <c r="B16" s="3" t="s">
        <v>50</v>
      </c>
      <c r="C16" s="3" t="s">
        <v>25</v>
      </c>
      <c r="D16" s="3" t="s">
        <v>23</v>
      </c>
      <c r="E16" s="3" t="n">
        <v>616</v>
      </c>
      <c r="F16" s="3" t="n">
        <v>269</v>
      </c>
      <c r="G16" s="3" t="n">
        <v>181</v>
      </c>
      <c r="H16" s="3" t="n">
        <v>68</v>
      </c>
      <c r="I16" s="3" t="n">
        <v>98</v>
      </c>
      <c r="J16" s="5" t="n">
        <f aca="false">F16/E16</f>
        <v>0.436688311688312</v>
      </c>
      <c r="K16" s="5" t="n">
        <f aca="false">G16/E16</f>
        <v>0.293831168831169</v>
      </c>
      <c r="L16" s="5" t="n">
        <f aca="false">H16/E16</f>
        <v>0.11038961038961</v>
      </c>
      <c r="M16" s="5" t="n">
        <f aca="false">I16/E16</f>
        <v>0.159090909090909</v>
      </c>
      <c r="N16" s="5" t="n">
        <v>0.4</v>
      </c>
      <c r="O16" s="5" t="n">
        <f aca="false">J16-N16</f>
        <v>0.0366883116883117</v>
      </c>
    </row>
    <row r="17" customFormat="false" ht="15" hidden="false" customHeight="true" outlineLevel="0" collapsed="false">
      <c r="A17" s="6" t="s">
        <v>49</v>
      </c>
      <c r="B17" s="6" t="s">
        <v>50</v>
      </c>
      <c r="C17" s="6" t="s">
        <v>25</v>
      </c>
      <c r="D17" s="6" t="s">
        <v>42</v>
      </c>
      <c r="E17" s="6" t="n">
        <v>890</v>
      </c>
      <c r="F17" s="6" t="n">
        <v>385</v>
      </c>
      <c r="G17" s="6" t="n">
        <v>226</v>
      </c>
      <c r="H17" s="6" t="n">
        <v>151</v>
      </c>
      <c r="I17" s="6" t="n">
        <v>128</v>
      </c>
      <c r="J17" s="8" t="n">
        <f aca="false">F17/E17</f>
        <v>0.432584269662921</v>
      </c>
      <c r="K17" s="8" t="n">
        <f aca="false">G17/E17</f>
        <v>0.253932584269663</v>
      </c>
      <c r="L17" s="8" t="n">
        <f aca="false">H17/E17</f>
        <v>0.169662921348315</v>
      </c>
      <c r="M17" s="8" t="n">
        <f aca="false">I17/E17</f>
        <v>0.143820224719101</v>
      </c>
      <c r="N17" s="8" t="n">
        <v>0.34</v>
      </c>
      <c r="O17" s="8" t="n">
        <f aca="false">J17-N17</f>
        <v>0.0925842696629213</v>
      </c>
    </row>
    <row r="18" customFormat="false" ht="15" hidden="false" customHeight="true" outlineLevel="0" collapsed="false">
      <c r="A18" s="3" t="s">
        <v>49</v>
      </c>
      <c r="B18" s="3" t="s">
        <v>50</v>
      </c>
      <c r="C18" s="3" t="s">
        <v>26</v>
      </c>
      <c r="D18" s="3" t="s">
        <v>23</v>
      </c>
      <c r="E18" s="3" t="n">
        <v>645</v>
      </c>
      <c r="F18" s="3" t="n">
        <v>232</v>
      </c>
      <c r="G18" s="3" t="n">
        <v>171</v>
      </c>
      <c r="H18" s="3" t="n">
        <v>89</v>
      </c>
      <c r="I18" s="3" t="n">
        <v>153</v>
      </c>
      <c r="J18" s="5" t="n">
        <f aca="false">F18/E18</f>
        <v>0.35968992248062</v>
      </c>
      <c r="K18" s="5" t="n">
        <f aca="false">G18/E18</f>
        <v>0.265116279069767</v>
      </c>
      <c r="L18" s="5" t="n">
        <f aca="false">H18/E18</f>
        <v>0.137984496124031</v>
      </c>
      <c r="M18" s="5" t="n">
        <f aca="false">I18/E18</f>
        <v>0.237209302325581</v>
      </c>
      <c r="N18" s="5" t="n">
        <v>0.35</v>
      </c>
      <c r="O18" s="5" t="n">
        <f aca="false">J18-N18</f>
        <v>0.00968992248062017</v>
      </c>
    </row>
    <row r="19" customFormat="false" ht="15" hidden="false" customHeight="true" outlineLevel="0" collapsed="false">
      <c r="A19" s="6" t="s">
        <v>49</v>
      </c>
      <c r="B19" s="6" t="s">
        <v>50</v>
      </c>
      <c r="C19" s="6" t="s">
        <v>26</v>
      </c>
      <c r="D19" s="6" t="s">
        <v>42</v>
      </c>
      <c r="E19" s="6" t="n">
        <v>767</v>
      </c>
      <c r="F19" s="6" t="n">
        <v>239</v>
      </c>
      <c r="G19" s="6" t="n">
        <v>156</v>
      </c>
      <c r="H19" s="6" t="n">
        <v>144</v>
      </c>
      <c r="I19" s="6" t="n">
        <v>228</v>
      </c>
      <c r="J19" s="8" t="n">
        <f aca="false">F19/E19</f>
        <v>0.311603650586701</v>
      </c>
      <c r="K19" s="8" t="n">
        <f aca="false">G19/E19</f>
        <v>0.203389830508475</v>
      </c>
      <c r="L19" s="8" t="n">
        <f aca="false">H19/E19</f>
        <v>0.1877444589309</v>
      </c>
      <c r="M19" s="8" t="n">
        <f aca="false">I19/E19</f>
        <v>0.297262059973924</v>
      </c>
      <c r="N19" s="8" t="n">
        <v>0.35</v>
      </c>
      <c r="O19" s="8" t="n">
        <f aca="false">J19-N19</f>
        <v>-0.0383963494132986</v>
      </c>
    </row>
    <row r="20" customFormat="false" ht="15" hidden="false" customHeight="true" outlineLevel="0" collapsed="false">
      <c r="A20" s="3" t="s">
        <v>49</v>
      </c>
      <c r="B20" s="3" t="s">
        <v>50</v>
      </c>
      <c r="C20" s="3" t="s">
        <v>27</v>
      </c>
      <c r="D20" s="3" t="s">
        <v>23</v>
      </c>
      <c r="E20" s="3" t="n">
        <v>880</v>
      </c>
      <c r="F20" s="3" t="n">
        <v>354</v>
      </c>
      <c r="G20" s="3" t="n">
        <v>174</v>
      </c>
      <c r="H20" s="3" t="n">
        <v>105</v>
      </c>
      <c r="I20" s="3" t="n">
        <v>247</v>
      </c>
      <c r="J20" s="5" t="n">
        <f aca="false">F20/E20</f>
        <v>0.402272727272727</v>
      </c>
      <c r="K20" s="5" t="n">
        <f aca="false">G20/E20</f>
        <v>0.197727272727273</v>
      </c>
      <c r="L20" s="5" t="n">
        <f aca="false">H20/E20</f>
        <v>0.119318181818182</v>
      </c>
      <c r="M20" s="5" t="n">
        <f aca="false">I20/E20</f>
        <v>0.280681818181818</v>
      </c>
      <c r="N20" s="5" t="n">
        <v>0.33</v>
      </c>
      <c r="O20" s="5" t="n">
        <f aca="false">J20-N20</f>
        <v>0.0722727272727273</v>
      </c>
    </row>
    <row r="21" customFormat="false" ht="15" hidden="false" customHeight="true" outlineLevel="0" collapsed="false">
      <c r="A21" s="6" t="s">
        <v>49</v>
      </c>
      <c r="B21" s="6" t="s">
        <v>50</v>
      </c>
      <c r="C21" s="6" t="s">
        <v>27</v>
      </c>
      <c r="D21" s="6" t="s">
        <v>42</v>
      </c>
      <c r="E21" s="6" t="n">
        <v>446</v>
      </c>
      <c r="F21" s="6" t="n">
        <v>161</v>
      </c>
      <c r="G21" s="6" t="n">
        <v>81</v>
      </c>
      <c r="H21" s="6" t="n">
        <v>51</v>
      </c>
      <c r="I21" s="6" t="n">
        <v>153</v>
      </c>
      <c r="J21" s="8" t="n">
        <f aca="false">F21/E21</f>
        <v>0.360986547085202</v>
      </c>
      <c r="K21" s="8" t="n">
        <f aca="false">G21/E21</f>
        <v>0.181614349775785</v>
      </c>
      <c r="L21" s="8" t="n">
        <f aca="false">H21/E21</f>
        <v>0.114349775784753</v>
      </c>
      <c r="M21" s="8" t="n">
        <f aca="false">I21/E21</f>
        <v>0.34304932735426</v>
      </c>
      <c r="N21" s="8" t="n">
        <v>0.33</v>
      </c>
      <c r="O21" s="8" t="n">
        <f aca="false">J21-N21</f>
        <v>0.0309865470852018</v>
      </c>
    </row>
    <row r="22" customFormat="false" ht="15" hidden="false" customHeight="true" outlineLevel="0" collapsed="false">
      <c r="A22" s="3" t="s">
        <v>49</v>
      </c>
      <c r="B22" s="3" t="s">
        <v>50</v>
      </c>
      <c r="C22" s="3" t="s">
        <v>28</v>
      </c>
      <c r="D22" s="3" t="s">
        <v>23</v>
      </c>
      <c r="E22" s="3" t="n">
        <v>998</v>
      </c>
      <c r="F22" s="3" t="n">
        <v>365</v>
      </c>
      <c r="G22" s="3" t="n">
        <v>212</v>
      </c>
      <c r="H22" s="3" t="n">
        <v>115</v>
      </c>
      <c r="I22" s="3" t="n">
        <v>306</v>
      </c>
      <c r="J22" s="5" t="n">
        <f aca="false">F22/E22</f>
        <v>0.365731462925852</v>
      </c>
      <c r="K22" s="5" t="n">
        <f aca="false">G22/E22</f>
        <v>0.212424849699399</v>
      </c>
      <c r="L22" s="5" t="n">
        <f aca="false">H22/E22</f>
        <v>0.115230460921844</v>
      </c>
      <c r="M22" s="5" t="n">
        <f aca="false">I22/E22</f>
        <v>0.306613226452906</v>
      </c>
      <c r="N22" s="5" t="n">
        <v>0.33</v>
      </c>
      <c r="O22" s="5" t="n">
        <f aca="false">J22-N22</f>
        <v>0.0357314629258517</v>
      </c>
    </row>
    <row r="23" customFormat="false" ht="15" hidden="false" customHeight="true" outlineLevel="0" collapsed="false">
      <c r="A23" s="6" t="s">
        <v>49</v>
      </c>
      <c r="B23" s="6" t="s">
        <v>50</v>
      </c>
      <c r="C23" s="6" t="s">
        <v>28</v>
      </c>
      <c r="D23" s="6" t="s">
        <v>42</v>
      </c>
      <c r="E23" s="6" t="n">
        <v>788</v>
      </c>
      <c r="F23" s="6" t="n">
        <v>286</v>
      </c>
      <c r="G23" s="6" t="n">
        <v>147</v>
      </c>
      <c r="H23" s="6" t="n">
        <v>122</v>
      </c>
      <c r="I23" s="6" t="n">
        <v>233</v>
      </c>
      <c r="J23" s="8" t="n">
        <f aca="false">F23/E23</f>
        <v>0.362944162436548</v>
      </c>
      <c r="K23" s="8" t="n">
        <f aca="false">G23/E23</f>
        <v>0.186548223350254</v>
      </c>
      <c r="L23" s="8" t="n">
        <f aca="false">H23/E23</f>
        <v>0.154822335025381</v>
      </c>
      <c r="M23" s="8" t="n">
        <f aca="false">I23/E23</f>
        <v>0.295685279187817</v>
      </c>
      <c r="N23" s="8" t="n">
        <v>0.39</v>
      </c>
      <c r="O23" s="8" t="n">
        <f aca="false">J23-N23</f>
        <v>-0.0270558375634518</v>
      </c>
    </row>
    <row r="24" customFormat="false" ht="15" hidden="false" customHeight="true" outlineLevel="0" collapsed="false">
      <c r="A24" s="3" t="s">
        <v>49</v>
      </c>
      <c r="B24" s="3" t="s">
        <v>50</v>
      </c>
      <c r="C24" s="3" t="s">
        <v>29</v>
      </c>
      <c r="D24" s="3" t="s">
        <v>23</v>
      </c>
      <c r="E24" s="3" t="n">
        <v>745</v>
      </c>
      <c r="F24" s="3" t="n">
        <v>224</v>
      </c>
      <c r="G24" s="3" t="n">
        <v>203</v>
      </c>
      <c r="H24" s="3" t="n">
        <v>146</v>
      </c>
      <c r="I24" s="3" t="n">
        <v>172</v>
      </c>
      <c r="J24" s="5" t="n">
        <f aca="false">F24/E24</f>
        <v>0.300671140939597</v>
      </c>
      <c r="K24" s="5" t="n">
        <f aca="false">G24/E24</f>
        <v>0.27248322147651</v>
      </c>
      <c r="L24" s="5" t="n">
        <f aca="false">H24/E24</f>
        <v>0.195973154362416</v>
      </c>
      <c r="M24" s="5" t="n">
        <f aca="false">I24/E24</f>
        <v>0.230872483221477</v>
      </c>
      <c r="N24" s="5" t="n">
        <v>0.36</v>
      </c>
      <c r="O24" s="5" t="n">
        <f aca="false">J24-N24</f>
        <v>-0.0593288590604027</v>
      </c>
    </row>
    <row r="25" customFormat="false" ht="15" hidden="false" customHeight="true" outlineLevel="0" collapsed="false">
      <c r="A25" s="6" t="s">
        <v>49</v>
      </c>
      <c r="B25" s="6" t="s">
        <v>50</v>
      </c>
      <c r="C25" s="6" t="s">
        <v>29</v>
      </c>
      <c r="D25" s="6" t="s">
        <v>42</v>
      </c>
      <c r="E25" s="6" t="n">
        <v>902</v>
      </c>
      <c r="F25" s="6" t="n">
        <v>308</v>
      </c>
      <c r="G25" s="6" t="n">
        <v>234</v>
      </c>
      <c r="H25" s="6" t="n">
        <v>121</v>
      </c>
      <c r="I25" s="6" t="n">
        <v>239</v>
      </c>
      <c r="J25" s="8" t="n">
        <f aca="false">F25/E25</f>
        <v>0.341463414634146</v>
      </c>
      <c r="K25" s="8" t="n">
        <f aca="false">G25/E25</f>
        <v>0.259423503325942</v>
      </c>
      <c r="L25" s="8" t="n">
        <f aca="false">H25/E25</f>
        <v>0.134146341463415</v>
      </c>
      <c r="M25" s="8" t="n">
        <f aca="false">I25/E25</f>
        <v>0.264966740576497</v>
      </c>
      <c r="N25" s="8" t="n">
        <v>0.31</v>
      </c>
      <c r="O25" s="8" t="n">
        <f aca="false">J25-N25</f>
        <v>0.0314634146341464</v>
      </c>
    </row>
    <row r="26" customFormat="false" ht="15" hidden="false" customHeight="true" outlineLevel="0" collapsed="false">
      <c r="A26" s="3" t="s">
        <v>53</v>
      </c>
      <c r="B26" s="3" t="s">
        <v>54</v>
      </c>
      <c r="C26" s="3" t="s">
        <v>24</v>
      </c>
      <c r="D26" s="3" t="s">
        <v>23</v>
      </c>
      <c r="E26" s="3" t="n">
        <v>959</v>
      </c>
      <c r="F26" s="3" t="n">
        <v>333</v>
      </c>
      <c r="G26" s="3" t="n">
        <v>275</v>
      </c>
      <c r="H26" s="3" t="n">
        <v>147</v>
      </c>
      <c r="I26" s="3" t="n">
        <v>204</v>
      </c>
      <c r="J26" s="5" t="n">
        <f aca="false">F26/E26</f>
        <v>0.347236704900939</v>
      </c>
      <c r="K26" s="5" t="n">
        <f aca="false">G26/E26</f>
        <v>0.286757038581856</v>
      </c>
      <c r="L26" s="5" t="n">
        <f aca="false">H26/E26</f>
        <v>0.153284671532847</v>
      </c>
      <c r="M26" s="5" t="n">
        <f aca="false">I26/E26</f>
        <v>0.212721584984359</v>
      </c>
      <c r="N26" s="5" t="n">
        <v>0.36</v>
      </c>
      <c r="O26" s="5" t="n">
        <f aca="false">J26-N26</f>
        <v>-0.0127632950990615</v>
      </c>
    </row>
    <row r="27" customFormat="false" ht="15" hidden="false" customHeight="true" outlineLevel="0" collapsed="false">
      <c r="A27" s="6" t="s">
        <v>53</v>
      </c>
      <c r="B27" s="6" t="s">
        <v>54</v>
      </c>
      <c r="C27" s="6" t="s">
        <v>24</v>
      </c>
      <c r="D27" s="6" t="s">
        <v>42</v>
      </c>
      <c r="E27" s="6" t="n">
        <v>460</v>
      </c>
      <c r="F27" s="6" t="n">
        <v>163</v>
      </c>
      <c r="G27" s="6" t="n">
        <v>126</v>
      </c>
      <c r="H27" s="6" t="n">
        <v>49</v>
      </c>
      <c r="I27" s="6" t="n">
        <v>122</v>
      </c>
      <c r="J27" s="8" t="n">
        <f aca="false">F27/E27</f>
        <v>0.354347826086957</v>
      </c>
      <c r="K27" s="8" t="n">
        <f aca="false">G27/E27</f>
        <v>0.273913043478261</v>
      </c>
      <c r="L27" s="8" t="n">
        <f aca="false">H27/E27</f>
        <v>0.106521739130435</v>
      </c>
      <c r="M27" s="8" t="n">
        <f aca="false">I27/E27</f>
        <v>0.265217391304348</v>
      </c>
      <c r="N27" s="8" t="n">
        <v>0.38</v>
      </c>
      <c r="O27" s="8" t="n">
        <f aca="false">J27-N27</f>
        <v>-0.0256521739130435</v>
      </c>
    </row>
    <row r="28" customFormat="false" ht="15" hidden="false" customHeight="true" outlineLevel="0" collapsed="false">
      <c r="A28" s="3" t="s">
        <v>53</v>
      </c>
      <c r="B28" s="3" t="s">
        <v>54</v>
      </c>
      <c r="C28" s="3" t="s">
        <v>25</v>
      </c>
      <c r="D28" s="3" t="s">
        <v>23</v>
      </c>
      <c r="E28" s="3" t="n">
        <v>449</v>
      </c>
      <c r="F28" s="3" t="n">
        <v>180</v>
      </c>
      <c r="G28" s="3" t="n">
        <v>95</v>
      </c>
      <c r="H28" s="3" t="n">
        <v>82</v>
      </c>
      <c r="I28" s="3" t="n">
        <v>92</v>
      </c>
      <c r="J28" s="5" t="n">
        <f aca="false">F28/E28</f>
        <v>0.400890868596882</v>
      </c>
      <c r="K28" s="5" t="n">
        <f aca="false">G28/E28</f>
        <v>0.211581291759465</v>
      </c>
      <c r="L28" s="5" t="n">
        <f aca="false">H28/E28</f>
        <v>0.182628062360802</v>
      </c>
      <c r="M28" s="5" t="n">
        <f aca="false">I28/E28</f>
        <v>0.204899777282851</v>
      </c>
      <c r="N28" s="5" t="n">
        <v>0.32</v>
      </c>
      <c r="O28" s="5" t="n">
        <f aca="false">J28-N28</f>
        <v>0.0808908685968819</v>
      </c>
    </row>
    <row r="29" customFormat="false" ht="15" hidden="false" customHeight="true" outlineLevel="0" collapsed="false">
      <c r="A29" s="6" t="s">
        <v>53</v>
      </c>
      <c r="B29" s="6" t="s">
        <v>54</v>
      </c>
      <c r="C29" s="6" t="s">
        <v>25</v>
      </c>
      <c r="D29" s="6" t="s">
        <v>42</v>
      </c>
      <c r="E29" s="6" t="n">
        <v>554</v>
      </c>
      <c r="F29" s="6" t="n">
        <v>139</v>
      </c>
      <c r="G29" s="6" t="n">
        <v>125</v>
      </c>
      <c r="H29" s="6" t="n">
        <v>76</v>
      </c>
      <c r="I29" s="6" t="n">
        <v>214</v>
      </c>
      <c r="J29" s="8" t="n">
        <f aca="false">F29/E29</f>
        <v>0.250902527075812</v>
      </c>
      <c r="K29" s="8" t="n">
        <f aca="false">G29/E29</f>
        <v>0.225631768953069</v>
      </c>
      <c r="L29" s="8" t="n">
        <f aca="false">H29/E29</f>
        <v>0.137184115523466</v>
      </c>
      <c r="M29" s="8" t="n">
        <f aca="false">I29/E29</f>
        <v>0.386281588447653</v>
      </c>
      <c r="N29" s="8" t="n">
        <v>0.36</v>
      </c>
      <c r="O29" s="8" t="n">
        <f aca="false">J29-N29</f>
        <v>-0.109097472924188</v>
      </c>
    </row>
    <row r="30" customFormat="false" ht="15" hidden="false" customHeight="true" outlineLevel="0" collapsed="false">
      <c r="A30" s="3" t="s">
        <v>53</v>
      </c>
      <c r="B30" s="3" t="s">
        <v>54</v>
      </c>
      <c r="C30" s="3" t="s">
        <v>26</v>
      </c>
      <c r="D30" s="3" t="s">
        <v>23</v>
      </c>
      <c r="E30" s="3" t="n">
        <v>894</v>
      </c>
      <c r="F30" s="3" t="n">
        <v>341</v>
      </c>
      <c r="G30" s="3" t="n">
        <v>136</v>
      </c>
      <c r="H30" s="3" t="n">
        <v>136</v>
      </c>
      <c r="I30" s="3" t="n">
        <v>281</v>
      </c>
      <c r="J30" s="5" t="n">
        <f aca="false">F30/E30</f>
        <v>0.381431767337808</v>
      </c>
      <c r="K30" s="5" t="n">
        <f aca="false">G30/E30</f>
        <v>0.152125279642058</v>
      </c>
      <c r="L30" s="5" t="n">
        <f aca="false">H30/E30</f>
        <v>0.152125279642058</v>
      </c>
      <c r="M30" s="5" t="n">
        <f aca="false">I30/E30</f>
        <v>0.314317673378076</v>
      </c>
      <c r="N30" s="5" t="n">
        <v>0.34</v>
      </c>
      <c r="O30" s="5" t="n">
        <f aca="false">J30-N30</f>
        <v>0.0414317673378076</v>
      </c>
    </row>
    <row r="31" customFormat="false" ht="15" hidden="false" customHeight="true" outlineLevel="0" collapsed="false">
      <c r="A31" s="6" t="s">
        <v>53</v>
      </c>
      <c r="B31" s="6" t="s">
        <v>54</v>
      </c>
      <c r="C31" s="6" t="s">
        <v>26</v>
      </c>
      <c r="D31" s="6" t="s">
        <v>42</v>
      </c>
      <c r="E31" s="6" t="n">
        <v>417</v>
      </c>
      <c r="F31" s="6" t="n">
        <v>148</v>
      </c>
      <c r="G31" s="6" t="n">
        <v>79</v>
      </c>
      <c r="H31" s="6" t="n">
        <v>82</v>
      </c>
      <c r="I31" s="6" t="n">
        <v>108</v>
      </c>
      <c r="J31" s="8" t="n">
        <f aca="false">F31/E31</f>
        <v>0.354916067146283</v>
      </c>
      <c r="K31" s="8" t="n">
        <f aca="false">G31/E31</f>
        <v>0.189448441247002</v>
      </c>
      <c r="L31" s="8" t="n">
        <f aca="false">H31/E31</f>
        <v>0.196642685851319</v>
      </c>
      <c r="M31" s="8" t="n">
        <f aca="false">I31/E31</f>
        <v>0.258992805755396</v>
      </c>
      <c r="N31" s="8" t="n">
        <v>0.3</v>
      </c>
      <c r="O31" s="8" t="n">
        <f aca="false">J31-N31</f>
        <v>0.054916067146283</v>
      </c>
    </row>
    <row r="32" customFormat="false" ht="15" hidden="false" customHeight="true" outlineLevel="0" collapsed="false">
      <c r="A32" s="3" t="s">
        <v>53</v>
      </c>
      <c r="B32" s="3" t="s">
        <v>54</v>
      </c>
      <c r="C32" s="3" t="s">
        <v>27</v>
      </c>
      <c r="D32" s="3" t="s">
        <v>23</v>
      </c>
      <c r="E32" s="3" t="n">
        <v>840</v>
      </c>
      <c r="F32" s="3" t="n">
        <v>345</v>
      </c>
      <c r="G32" s="3" t="n">
        <v>240</v>
      </c>
      <c r="H32" s="3" t="n">
        <v>92</v>
      </c>
      <c r="I32" s="3" t="n">
        <v>163</v>
      </c>
      <c r="J32" s="5" t="n">
        <f aca="false">F32/E32</f>
        <v>0.410714285714286</v>
      </c>
      <c r="K32" s="5" t="n">
        <f aca="false">G32/E32</f>
        <v>0.285714285714286</v>
      </c>
      <c r="L32" s="5" t="n">
        <f aca="false">H32/E32</f>
        <v>0.10952380952381</v>
      </c>
      <c r="M32" s="5" t="n">
        <f aca="false">I32/E32</f>
        <v>0.194047619047619</v>
      </c>
      <c r="N32" s="5" t="n">
        <v>0.31</v>
      </c>
      <c r="O32" s="5" t="n">
        <f aca="false">J32-N32</f>
        <v>0.100714285714286</v>
      </c>
    </row>
    <row r="33" customFormat="false" ht="15" hidden="false" customHeight="true" outlineLevel="0" collapsed="false">
      <c r="A33" s="6" t="s">
        <v>53</v>
      </c>
      <c r="B33" s="6" t="s">
        <v>54</v>
      </c>
      <c r="C33" s="6" t="s">
        <v>27</v>
      </c>
      <c r="D33" s="6" t="s">
        <v>42</v>
      </c>
      <c r="E33" s="6" t="n">
        <v>552</v>
      </c>
      <c r="F33" s="6" t="n">
        <v>164</v>
      </c>
      <c r="G33" s="6" t="n">
        <v>134</v>
      </c>
      <c r="H33" s="6" t="n">
        <v>69</v>
      </c>
      <c r="I33" s="6" t="n">
        <v>185</v>
      </c>
      <c r="J33" s="8" t="n">
        <f aca="false">F33/E33</f>
        <v>0.297101449275362</v>
      </c>
      <c r="K33" s="8" t="n">
        <f aca="false">G33/E33</f>
        <v>0.242753623188406</v>
      </c>
      <c r="L33" s="8" t="n">
        <f aca="false">H33/E33</f>
        <v>0.125</v>
      </c>
      <c r="M33" s="8" t="n">
        <f aca="false">I33/E33</f>
        <v>0.335144927536232</v>
      </c>
      <c r="N33" s="8" t="n">
        <v>0.34</v>
      </c>
      <c r="O33" s="8" t="n">
        <f aca="false">J33-N33</f>
        <v>-0.0428985507246377</v>
      </c>
    </row>
    <row r="34" customFormat="false" ht="15" hidden="false" customHeight="true" outlineLevel="0" collapsed="false">
      <c r="A34" s="3" t="s">
        <v>53</v>
      </c>
      <c r="B34" s="3" t="s">
        <v>54</v>
      </c>
      <c r="C34" s="3" t="s">
        <v>28</v>
      </c>
      <c r="D34" s="3" t="s">
        <v>23</v>
      </c>
      <c r="E34" s="3" t="n">
        <v>806</v>
      </c>
      <c r="F34" s="3" t="n">
        <v>214</v>
      </c>
      <c r="G34" s="3" t="n">
        <v>236</v>
      </c>
      <c r="H34" s="3" t="n">
        <v>117</v>
      </c>
      <c r="I34" s="3" t="n">
        <v>239</v>
      </c>
      <c r="J34" s="5" t="n">
        <f aca="false">F34/E34</f>
        <v>0.265508684863524</v>
      </c>
      <c r="K34" s="5" t="n">
        <f aca="false">G34/E34</f>
        <v>0.292803970223325</v>
      </c>
      <c r="L34" s="5" t="n">
        <f aca="false">H34/E34</f>
        <v>0.145161290322581</v>
      </c>
      <c r="M34" s="5" t="n">
        <f aca="false">I34/E34</f>
        <v>0.296526054590571</v>
      </c>
      <c r="N34" s="5" t="n">
        <v>0.32</v>
      </c>
      <c r="O34" s="5" t="n">
        <f aca="false">J34-N34</f>
        <v>-0.0544913151364764</v>
      </c>
    </row>
    <row r="35" customFormat="false" ht="15" hidden="false" customHeight="true" outlineLevel="0" collapsed="false">
      <c r="A35" s="6" t="s">
        <v>53</v>
      </c>
      <c r="B35" s="6" t="s">
        <v>54</v>
      </c>
      <c r="C35" s="6" t="s">
        <v>28</v>
      </c>
      <c r="D35" s="6" t="s">
        <v>42</v>
      </c>
      <c r="E35" s="6" t="n">
        <v>631</v>
      </c>
      <c r="F35" s="6" t="n">
        <v>195</v>
      </c>
      <c r="G35" s="6" t="n">
        <v>173</v>
      </c>
      <c r="H35" s="6" t="n">
        <v>68</v>
      </c>
      <c r="I35" s="6" t="n">
        <v>195</v>
      </c>
      <c r="J35" s="8" t="n">
        <f aca="false">F35/E35</f>
        <v>0.309033280507132</v>
      </c>
      <c r="K35" s="8" t="n">
        <f aca="false">G35/E35</f>
        <v>0.274167987321712</v>
      </c>
      <c r="L35" s="8" t="n">
        <f aca="false">H35/E35</f>
        <v>0.107765451664025</v>
      </c>
      <c r="M35" s="8" t="n">
        <f aca="false">I35/E35</f>
        <v>0.309033280507132</v>
      </c>
      <c r="N35" s="8" t="n">
        <v>0.4</v>
      </c>
      <c r="O35" s="8" t="n">
        <f aca="false">J35-N35</f>
        <v>-0.0909667194928685</v>
      </c>
    </row>
    <row r="36" customFormat="false" ht="15" hidden="false" customHeight="true" outlineLevel="0" collapsed="false">
      <c r="A36" s="3" t="s">
        <v>53</v>
      </c>
      <c r="B36" s="3" t="s">
        <v>54</v>
      </c>
      <c r="C36" s="3" t="s">
        <v>29</v>
      </c>
      <c r="D36" s="3" t="s">
        <v>23</v>
      </c>
      <c r="E36" s="3" t="n">
        <v>432</v>
      </c>
      <c r="F36" s="3" t="n">
        <v>116</v>
      </c>
      <c r="G36" s="3" t="n">
        <v>89</v>
      </c>
      <c r="H36" s="3" t="n">
        <v>67</v>
      </c>
      <c r="I36" s="3" t="n">
        <v>160</v>
      </c>
      <c r="J36" s="5" t="n">
        <f aca="false">F36/E36</f>
        <v>0.268518518518519</v>
      </c>
      <c r="K36" s="5" t="n">
        <f aca="false">G36/E36</f>
        <v>0.206018518518519</v>
      </c>
      <c r="L36" s="5" t="n">
        <f aca="false">H36/E36</f>
        <v>0.155092592592593</v>
      </c>
      <c r="M36" s="5" t="n">
        <f aca="false">I36/E36</f>
        <v>0.37037037037037</v>
      </c>
      <c r="N36" s="5" t="n">
        <v>0.31</v>
      </c>
      <c r="O36" s="5" t="n">
        <f aca="false">J36-N36</f>
        <v>-0.0414814814814815</v>
      </c>
    </row>
    <row r="37" customFormat="false" ht="15" hidden="false" customHeight="true" outlineLevel="0" collapsed="false">
      <c r="A37" s="6" t="s">
        <v>53</v>
      </c>
      <c r="B37" s="6" t="s">
        <v>54</v>
      </c>
      <c r="C37" s="6" t="s">
        <v>29</v>
      </c>
      <c r="D37" s="6" t="s">
        <v>42</v>
      </c>
      <c r="E37" s="6" t="n">
        <v>409</v>
      </c>
      <c r="F37" s="6" t="n">
        <v>159</v>
      </c>
      <c r="G37" s="6" t="n">
        <v>66</v>
      </c>
      <c r="H37" s="6" t="n">
        <v>75</v>
      </c>
      <c r="I37" s="6" t="n">
        <v>109</v>
      </c>
      <c r="J37" s="8" t="n">
        <f aca="false">F37/E37</f>
        <v>0.388753056234719</v>
      </c>
      <c r="K37" s="8" t="n">
        <f aca="false">G37/E37</f>
        <v>0.161369193154034</v>
      </c>
      <c r="L37" s="8" t="n">
        <f aca="false">H37/E37</f>
        <v>0.183374083129584</v>
      </c>
      <c r="M37" s="8" t="n">
        <f aca="false">I37/E37</f>
        <v>0.266503667481663</v>
      </c>
      <c r="N37" s="8" t="n">
        <v>0.36</v>
      </c>
      <c r="O37" s="8" t="n">
        <f aca="false">J37-N37</f>
        <v>0.0287530562347189</v>
      </c>
    </row>
    <row r="38" customFormat="false" ht="15" hidden="false" customHeight="true" outlineLevel="0" collapsed="false">
      <c r="A38" s="3" t="s">
        <v>57</v>
      </c>
      <c r="B38" s="3" t="s">
        <v>58</v>
      </c>
      <c r="C38" s="3" t="s">
        <v>24</v>
      </c>
      <c r="D38" s="3" t="s">
        <v>23</v>
      </c>
      <c r="E38" s="3" t="n">
        <v>739</v>
      </c>
      <c r="F38" s="3" t="n">
        <v>268</v>
      </c>
      <c r="G38" s="3" t="n">
        <v>205</v>
      </c>
      <c r="H38" s="3" t="n">
        <v>80</v>
      </c>
      <c r="I38" s="3" t="n">
        <v>186</v>
      </c>
      <c r="J38" s="5" t="n">
        <f aca="false">F38/E38</f>
        <v>0.362652232746955</v>
      </c>
      <c r="K38" s="5" t="n">
        <f aca="false">G38/E38</f>
        <v>0.277401894451962</v>
      </c>
      <c r="L38" s="5" t="n">
        <f aca="false">H38/E38</f>
        <v>0.108254397834912</v>
      </c>
      <c r="M38" s="5" t="n">
        <f aca="false">I38/E38</f>
        <v>0.251691474966171</v>
      </c>
      <c r="N38" s="5" t="n">
        <v>0.35</v>
      </c>
      <c r="O38" s="5" t="n">
        <f aca="false">J38-N38</f>
        <v>0.0126522327469554</v>
      </c>
    </row>
    <row r="39" customFormat="false" ht="15" hidden="false" customHeight="true" outlineLevel="0" collapsed="false">
      <c r="A39" s="6" t="s">
        <v>57</v>
      </c>
      <c r="B39" s="6" t="s">
        <v>58</v>
      </c>
      <c r="C39" s="6" t="s">
        <v>24</v>
      </c>
      <c r="D39" s="6" t="s">
        <v>42</v>
      </c>
      <c r="E39" s="6" t="n">
        <v>443</v>
      </c>
      <c r="F39" s="6" t="n">
        <v>131</v>
      </c>
      <c r="G39" s="6" t="n">
        <v>126</v>
      </c>
      <c r="H39" s="6" t="n">
        <v>74</v>
      </c>
      <c r="I39" s="6" t="n">
        <v>112</v>
      </c>
      <c r="J39" s="8" t="n">
        <f aca="false">F39/E39</f>
        <v>0.295711060948081</v>
      </c>
      <c r="K39" s="8" t="n">
        <f aca="false">G39/E39</f>
        <v>0.284424379232506</v>
      </c>
      <c r="L39" s="8" t="n">
        <f aca="false">H39/E39</f>
        <v>0.167042889390519</v>
      </c>
      <c r="M39" s="8" t="n">
        <f aca="false">I39/E39</f>
        <v>0.252821670428894</v>
      </c>
      <c r="N39" s="8" t="n">
        <v>0.36</v>
      </c>
      <c r="O39" s="8" t="n">
        <f aca="false">J39-N39</f>
        <v>-0.0642889390519187</v>
      </c>
    </row>
    <row r="40" customFormat="false" ht="15" hidden="false" customHeight="true" outlineLevel="0" collapsed="false">
      <c r="A40" s="3" t="s">
        <v>57</v>
      </c>
      <c r="B40" s="3" t="s">
        <v>58</v>
      </c>
      <c r="C40" s="3" t="s">
        <v>25</v>
      </c>
      <c r="D40" s="3" t="s">
        <v>23</v>
      </c>
      <c r="E40" s="3" t="n">
        <v>677</v>
      </c>
      <c r="F40" s="3" t="n">
        <v>175</v>
      </c>
      <c r="G40" s="3" t="n">
        <v>109</v>
      </c>
      <c r="H40" s="3" t="n">
        <v>130</v>
      </c>
      <c r="I40" s="3" t="n">
        <v>263</v>
      </c>
      <c r="J40" s="5" t="n">
        <f aca="false">F40/E40</f>
        <v>0.258493353028065</v>
      </c>
      <c r="K40" s="5" t="n">
        <f aca="false">G40/E40</f>
        <v>0.161004431314623</v>
      </c>
      <c r="L40" s="5" t="n">
        <f aca="false">H40/E40</f>
        <v>0.192023633677991</v>
      </c>
      <c r="M40" s="5" t="n">
        <f aca="false">I40/E40</f>
        <v>0.388478581979321</v>
      </c>
      <c r="N40" s="5" t="n">
        <v>0.39</v>
      </c>
      <c r="O40" s="5" t="n">
        <f aca="false">J40-N40</f>
        <v>-0.131506646971935</v>
      </c>
    </row>
    <row r="41" customFormat="false" ht="15" hidden="false" customHeight="true" outlineLevel="0" collapsed="false">
      <c r="A41" s="6" t="s">
        <v>57</v>
      </c>
      <c r="B41" s="6" t="s">
        <v>58</v>
      </c>
      <c r="C41" s="6" t="s">
        <v>25</v>
      </c>
      <c r="D41" s="6" t="s">
        <v>42</v>
      </c>
      <c r="E41" s="6" t="n">
        <v>977</v>
      </c>
      <c r="F41" s="6" t="n">
        <v>372</v>
      </c>
      <c r="G41" s="6" t="n">
        <v>172</v>
      </c>
      <c r="H41" s="6" t="n">
        <v>180</v>
      </c>
      <c r="I41" s="6" t="n">
        <v>253</v>
      </c>
      <c r="J41" s="8" t="n">
        <f aca="false">F41/E41</f>
        <v>0.380757420675537</v>
      </c>
      <c r="K41" s="8" t="n">
        <f aca="false">G41/E41</f>
        <v>0.176049129989765</v>
      </c>
      <c r="L41" s="8" t="n">
        <f aca="false">H41/E41</f>
        <v>0.184237461617196</v>
      </c>
      <c r="M41" s="8" t="n">
        <f aca="false">I41/E41</f>
        <v>0.258955987717503</v>
      </c>
      <c r="N41" s="8" t="n">
        <v>0.3</v>
      </c>
      <c r="O41" s="8" t="n">
        <f aca="false">J41-N41</f>
        <v>0.0807574206755374</v>
      </c>
    </row>
    <row r="42" customFormat="false" ht="15" hidden="false" customHeight="true" outlineLevel="0" collapsed="false">
      <c r="A42" s="3" t="s">
        <v>57</v>
      </c>
      <c r="B42" s="3" t="s">
        <v>58</v>
      </c>
      <c r="C42" s="3" t="s">
        <v>26</v>
      </c>
      <c r="D42" s="3" t="s">
        <v>23</v>
      </c>
      <c r="E42" s="3" t="n">
        <v>612</v>
      </c>
      <c r="F42" s="3" t="n">
        <v>224</v>
      </c>
      <c r="G42" s="3" t="n">
        <v>160</v>
      </c>
      <c r="H42" s="3" t="n">
        <v>104</v>
      </c>
      <c r="I42" s="3" t="n">
        <v>124</v>
      </c>
      <c r="J42" s="5" t="n">
        <f aca="false">F42/E42</f>
        <v>0.366013071895425</v>
      </c>
      <c r="K42" s="5" t="n">
        <f aca="false">G42/E42</f>
        <v>0.261437908496732</v>
      </c>
      <c r="L42" s="5" t="n">
        <f aca="false">H42/E42</f>
        <v>0.169934640522876</v>
      </c>
      <c r="M42" s="5" t="n">
        <f aca="false">I42/E42</f>
        <v>0.202614379084967</v>
      </c>
      <c r="N42" s="5" t="n">
        <v>0.34</v>
      </c>
      <c r="O42" s="5" t="n">
        <f aca="false">J42-N42</f>
        <v>0.0260130718954248</v>
      </c>
    </row>
    <row r="43" customFormat="false" ht="15" hidden="false" customHeight="true" outlineLevel="0" collapsed="false">
      <c r="A43" s="6" t="s">
        <v>57</v>
      </c>
      <c r="B43" s="6" t="s">
        <v>58</v>
      </c>
      <c r="C43" s="6" t="s">
        <v>26</v>
      </c>
      <c r="D43" s="6" t="s">
        <v>42</v>
      </c>
      <c r="E43" s="6" t="n">
        <v>478</v>
      </c>
      <c r="F43" s="6" t="n">
        <v>148</v>
      </c>
      <c r="G43" s="6" t="n">
        <v>112</v>
      </c>
      <c r="H43" s="6" t="n">
        <v>74</v>
      </c>
      <c r="I43" s="6" t="n">
        <v>144</v>
      </c>
      <c r="J43" s="8" t="n">
        <f aca="false">F43/E43</f>
        <v>0.309623430962343</v>
      </c>
      <c r="K43" s="8" t="n">
        <f aca="false">G43/E43</f>
        <v>0.234309623430962</v>
      </c>
      <c r="L43" s="8" t="n">
        <f aca="false">H43/E43</f>
        <v>0.154811715481172</v>
      </c>
      <c r="M43" s="8" t="n">
        <f aca="false">I43/E43</f>
        <v>0.301255230125523</v>
      </c>
      <c r="N43" s="8" t="n">
        <v>0.38</v>
      </c>
      <c r="O43" s="8" t="n">
        <f aca="false">J43-N43</f>
        <v>-0.0703765690376569</v>
      </c>
    </row>
    <row r="44" customFormat="false" ht="15" hidden="false" customHeight="true" outlineLevel="0" collapsed="false">
      <c r="A44" s="3" t="s">
        <v>57</v>
      </c>
      <c r="B44" s="3" t="s">
        <v>58</v>
      </c>
      <c r="C44" s="3" t="s">
        <v>27</v>
      </c>
      <c r="D44" s="3" t="s">
        <v>23</v>
      </c>
      <c r="E44" s="3" t="n">
        <v>953</v>
      </c>
      <c r="F44" s="3" t="n">
        <v>301</v>
      </c>
      <c r="G44" s="3" t="n">
        <v>250</v>
      </c>
      <c r="H44" s="3" t="n">
        <v>108</v>
      </c>
      <c r="I44" s="3" t="n">
        <v>294</v>
      </c>
      <c r="J44" s="5" t="n">
        <f aca="false">F44/E44</f>
        <v>0.315844700944386</v>
      </c>
      <c r="K44" s="5" t="n">
        <f aca="false">G44/E44</f>
        <v>0.262329485834208</v>
      </c>
      <c r="L44" s="5" t="n">
        <f aca="false">H44/E44</f>
        <v>0.113326337880378</v>
      </c>
      <c r="M44" s="5" t="n">
        <f aca="false">I44/E44</f>
        <v>0.308499475341028</v>
      </c>
      <c r="N44" s="5" t="n">
        <v>0.4</v>
      </c>
      <c r="O44" s="5" t="n">
        <f aca="false">J44-N44</f>
        <v>-0.0841552990556139</v>
      </c>
    </row>
    <row r="45" customFormat="false" ht="15" hidden="false" customHeight="true" outlineLevel="0" collapsed="false">
      <c r="A45" s="6" t="s">
        <v>57</v>
      </c>
      <c r="B45" s="6" t="s">
        <v>58</v>
      </c>
      <c r="C45" s="6" t="s">
        <v>27</v>
      </c>
      <c r="D45" s="6" t="s">
        <v>42</v>
      </c>
      <c r="E45" s="6" t="n">
        <v>480</v>
      </c>
      <c r="F45" s="6" t="n">
        <v>168</v>
      </c>
      <c r="G45" s="6" t="n">
        <v>142</v>
      </c>
      <c r="H45" s="6" t="n">
        <v>50</v>
      </c>
      <c r="I45" s="6" t="n">
        <v>120</v>
      </c>
      <c r="J45" s="8" t="n">
        <f aca="false">F45/E45</f>
        <v>0.35</v>
      </c>
      <c r="K45" s="8" t="n">
        <f aca="false">G45/E45</f>
        <v>0.295833333333333</v>
      </c>
      <c r="L45" s="8" t="n">
        <f aca="false">H45/E45</f>
        <v>0.104166666666667</v>
      </c>
      <c r="M45" s="8" t="n">
        <f aca="false">I45/E45</f>
        <v>0.25</v>
      </c>
      <c r="N45" s="8" t="n">
        <v>0.34</v>
      </c>
      <c r="O45" s="8" t="n">
        <f aca="false">J45-N45</f>
        <v>0.00999999999999995</v>
      </c>
    </row>
    <row r="46" customFormat="false" ht="15" hidden="false" customHeight="true" outlineLevel="0" collapsed="false">
      <c r="A46" s="3" t="s">
        <v>57</v>
      </c>
      <c r="B46" s="3" t="s">
        <v>58</v>
      </c>
      <c r="C46" s="3" t="s">
        <v>28</v>
      </c>
      <c r="D46" s="3" t="s">
        <v>23</v>
      </c>
      <c r="E46" s="3" t="n">
        <v>477</v>
      </c>
      <c r="F46" s="3" t="n">
        <v>151</v>
      </c>
      <c r="G46" s="3" t="n">
        <v>126</v>
      </c>
      <c r="H46" s="3" t="n">
        <v>93</v>
      </c>
      <c r="I46" s="3" t="n">
        <v>107</v>
      </c>
      <c r="J46" s="5" t="n">
        <f aca="false">F46/E46</f>
        <v>0.316561844863732</v>
      </c>
      <c r="K46" s="5" t="n">
        <f aca="false">G46/E46</f>
        <v>0.264150943396226</v>
      </c>
      <c r="L46" s="5" t="n">
        <f aca="false">H46/E46</f>
        <v>0.19496855345912</v>
      </c>
      <c r="M46" s="5" t="n">
        <f aca="false">I46/E46</f>
        <v>0.224318658280922</v>
      </c>
      <c r="N46" s="5" t="n">
        <v>0.34</v>
      </c>
      <c r="O46" s="5" t="n">
        <f aca="false">J46-N46</f>
        <v>-0.0234381551362683</v>
      </c>
    </row>
    <row r="47" customFormat="false" ht="15" hidden="false" customHeight="true" outlineLevel="0" collapsed="false">
      <c r="A47" s="6" t="s">
        <v>57</v>
      </c>
      <c r="B47" s="6" t="s">
        <v>58</v>
      </c>
      <c r="C47" s="6" t="s">
        <v>28</v>
      </c>
      <c r="D47" s="6" t="s">
        <v>42</v>
      </c>
      <c r="E47" s="6" t="n">
        <v>734</v>
      </c>
      <c r="F47" s="6" t="n">
        <v>187</v>
      </c>
      <c r="G47" s="6" t="n">
        <v>140</v>
      </c>
      <c r="H47" s="6" t="n">
        <v>146</v>
      </c>
      <c r="I47" s="6" t="n">
        <v>261</v>
      </c>
      <c r="J47" s="8" t="n">
        <f aca="false">F47/E47</f>
        <v>0.254768392370572</v>
      </c>
      <c r="K47" s="8" t="n">
        <f aca="false">G47/E47</f>
        <v>0.190735694822888</v>
      </c>
      <c r="L47" s="8" t="n">
        <f aca="false">H47/E47</f>
        <v>0.198910081743869</v>
      </c>
      <c r="M47" s="8" t="n">
        <f aca="false">I47/E47</f>
        <v>0.35558583106267</v>
      </c>
      <c r="N47" s="8" t="n">
        <v>0.35</v>
      </c>
      <c r="O47" s="8" t="n">
        <f aca="false">J47-N47</f>
        <v>-0.0952316076294278</v>
      </c>
    </row>
    <row r="48" customFormat="false" ht="15" hidden="false" customHeight="true" outlineLevel="0" collapsed="false">
      <c r="A48" s="3" t="s">
        <v>57</v>
      </c>
      <c r="B48" s="3" t="s">
        <v>58</v>
      </c>
      <c r="C48" s="3" t="s">
        <v>29</v>
      </c>
      <c r="D48" s="3" t="s">
        <v>23</v>
      </c>
      <c r="E48" s="3" t="n">
        <v>764</v>
      </c>
      <c r="F48" s="3" t="n">
        <v>275</v>
      </c>
      <c r="G48" s="3" t="n">
        <v>157</v>
      </c>
      <c r="H48" s="3" t="n">
        <v>90</v>
      </c>
      <c r="I48" s="3" t="n">
        <v>242</v>
      </c>
      <c r="J48" s="5" t="n">
        <f aca="false">F48/E48</f>
        <v>0.359947643979058</v>
      </c>
      <c r="K48" s="5" t="n">
        <f aca="false">G48/E48</f>
        <v>0.205497382198953</v>
      </c>
      <c r="L48" s="5" t="n">
        <f aca="false">H48/E48</f>
        <v>0.117801047120419</v>
      </c>
      <c r="M48" s="5" t="n">
        <f aca="false">I48/E48</f>
        <v>0.316753926701571</v>
      </c>
      <c r="N48" s="5" t="n">
        <v>0.36</v>
      </c>
      <c r="O48" s="5" t="n">
        <f aca="false">J48-N48</f>
        <v>-5.23560209423901E-005</v>
      </c>
    </row>
    <row r="49" customFormat="false" ht="15" hidden="false" customHeight="true" outlineLevel="0" collapsed="false">
      <c r="A49" s="6" t="s">
        <v>57</v>
      </c>
      <c r="B49" s="6" t="s">
        <v>58</v>
      </c>
      <c r="C49" s="6" t="s">
        <v>29</v>
      </c>
      <c r="D49" s="6" t="s">
        <v>42</v>
      </c>
      <c r="E49" s="6" t="n">
        <v>789</v>
      </c>
      <c r="F49" s="6" t="n">
        <v>210</v>
      </c>
      <c r="G49" s="6" t="n">
        <v>191</v>
      </c>
      <c r="H49" s="6" t="n">
        <v>141</v>
      </c>
      <c r="I49" s="6" t="n">
        <v>247</v>
      </c>
      <c r="J49" s="8" t="n">
        <f aca="false">F49/E49</f>
        <v>0.266159695817491</v>
      </c>
      <c r="K49" s="8" t="n">
        <f aca="false">G49/E49</f>
        <v>0.242078580481622</v>
      </c>
      <c r="L49" s="8" t="n">
        <f aca="false">H49/E49</f>
        <v>0.178707224334601</v>
      </c>
      <c r="M49" s="8" t="n">
        <f aca="false">I49/E49</f>
        <v>0.313054499366286</v>
      </c>
      <c r="N49" s="8" t="n">
        <v>0.37</v>
      </c>
      <c r="O49" s="8" t="n">
        <f aca="false">J49-N49</f>
        <v>-0.10384030418251</v>
      </c>
    </row>
    <row r="50" customFormat="false" ht="15" hidden="false" customHeight="true" outlineLevel="0" collapsed="false">
      <c r="A50" s="3" t="s">
        <v>62</v>
      </c>
      <c r="B50" s="3" t="s">
        <v>63</v>
      </c>
      <c r="C50" s="3" t="s">
        <v>24</v>
      </c>
      <c r="D50" s="3" t="s">
        <v>23</v>
      </c>
      <c r="E50" s="3" t="n">
        <v>484</v>
      </c>
      <c r="F50" s="3" t="n">
        <v>146</v>
      </c>
      <c r="G50" s="3" t="n">
        <v>100</v>
      </c>
      <c r="H50" s="3" t="n">
        <v>86</v>
      </c>
      <c r="I50" s="3" t="n">
        <v>152</v>
      </c>
      <c r="J50" s="5" t="n">
        <f aca="false">F50/E50</f>
        <v>0.301652892561983</v>
      </c>
      <c r="K50" s="5" t="n">
        <f aca="false">G50/E50</f>
        <v>0.206611570247934</v>
      </c>
      <c r="L50" s="5" t="n">
        <f aca="false">H50/E50</f>
        <v>0.177685950413223</v>
      </c>
      <c r="M50" s="5" t="n">
        <f aca="false">I50/E50</f>
        <v>0.31404958677686</v>
      </c>
      <c r="N50" s="5" t="n">
        <v>0.32</v>
      </c>
      <c r="O50" s="5" t="n">
        <f aca="false">J50-N50</f>
        <v>-0.0183471074380165</v>
      </c>
    </row>
    <row r="51" customFormat="false" ht="15" hidden="false" customHeight="true" outlineLevel="0" collapsed="false">
      <c r="A51" s="6" t="s">
        <v>62</v>
      </c>
      <c r="B51" s="6" t="s">
        <v>63</v>
      </c>
      <c r="C51" s="6" t="s">
        <v>24</v>
      </c>
      <c r="D51" s="6" t="s">
        <v>42</v>
      </c>
      <c r="E51" s="6" t="n">
        <v>798</v>
      </c>
      <c r="F51" s="6" t="n">
        <v>250</v>
      </c>
      <c r="G51" s="6" t="n">
        <v>132</v>
      </c>
      <c r="H51" s="6" t="n">
        <v>80</v>
      </c>
      <c r="I51" s="6" t="n">
        <v>336</v>
      </c>
      <c r="J51" s="8" t="n">
        <f aca="false">F51/E51</f>
        <v>0.31328320802005</v>
      </c>
      <c r="K51" s="8" t="n">
        <f aca="false">G51/E51</f>
        <v>0.165413533834586</v>
      </c>
      <c r="L51" s="8" t="n">
        <f aca="false">H51/E51</f>
        <v>0.100250626566416</v>
      </c>
      <c r="M51" s="8" t="n">
        <f aca="false">I51/E51</f>
        <v>0.421052631578947</v>
      </c>
      <c r="N51" s="8" t="n">
        <v>0.33</v>
      </c>
      <c r="O51" s="8" t="n">
        <f aca="false">J51-N51</f>
        <v>-0.0167167919799499</v>
      </c>
    </row>
    <row r="52" customFormat="false" ht="15" hidden="false" customHeight="true" outlineLevel="0" collapsed="false">
      <c r="A52" s="3" t="s">
        <v>62</v>
      </c>
      <c r="B52" s="3" t="s">
        <v>63</v>
      </c>
      <c r="C52" s="3" t="s">
        <v>25</v>
      </c>
      <c r="D52" s="3" t="s">
        <v>23</v>
      </c>
      <c r="E52" s="3" t="n">
        <v>768</v>
      </c>
      <c r="F52" s="3" t="n">
        <v>308</v>
      </c>
      <c r="G52" s="3" t="n">
        <v>126</v>
      </c>
      <c r="H52" s="3" t="n">
        <v>83</v>
      </c>
      <c r="I52" s="3" t="n">
        <v>251</v>
      </c>
      <c r="J52" s="5" t="n">
        <f aca="false">F52/E52</f>
        <v>0.401041666666667</v>
      </c>
      <c r="K52" s="5" t="n">
        <f aca="false">G52/E52</f>
        <v>0.1640625</v>
      </c>
      <c r="L52" s="5" t="n">
        <f aca="false">H52/E52</f>
        <v>0.108072916666667</v>
      </c>
      <c r="M52" s="5" t="n">
        <f aca="false">I52/E52</f>
        <v>0.326822916666667</v>
      </c>
      <c r="N52" s="5" t="n">
        <v>0.34</v>
      </c>
      <c r="O52" s="5" t="n">
        <f aca="false">J52-N52</f>
        <v>0.0610416666666667</v>
      </c>
    </row>
    <row r="53" customFormat="false" ht="15" hidden="false" customHeight="true" outlineLevel="0" collapsed="false">
      <c r="A53" s="6" t="s">
        <v>62</v>
      </c>
      <c r="B53" s="6" t="s">
        <v>63</v>
      </c>
      <c r="C53" s="6" t="s">
        <v>25</v>
      </c>
      <c r="D53" s="6" t="s">
        <v>42</v>
      </c>
      <c r="E53" s="6" t="n">
        <v>970</v>
      </c>
      <c r="F53" s="6" t="n">
        <v>350</v>
      </c>
      <c r="G53" s="6" t="n">
        <v>204</v>
      </c>
      <c r="H53" s="6" t="n">
        <v>99</v>
      </c>
      <c r="I53" s="6" t="n">
        <v>317</v>
      </c>
      <c r="J53" s="8" t="n">
        <f aca="false">F53/E53</f>
        <v>0.360824742268041</v>
      </c>
      <c r="K53" s="8" t="n">
        <f aca="false">G53/E53</f>
        <v>0.210309278350515</v>
      </c>
      <c r="L53" s="8" t="n">
        <f aca="false">H53/E53</f>
        <v>0.102061855670103</v>
      </c>
      <c r="M53" s="8" t="n">
        <f aca="false">I53/E53</f>
        <v>0.32680412371134</v>
      </c>
      <c r="N53" s="8" t="n">
        <v>0.34</v>
      </c>
      <c r="O53" s="8" t="n">
        <f aca="false">J53-N53</f>
        <v>0.0208247422680412</v>
      </c>
    </row>
    <row r="54" customFormat="false" ht="15" hidden="false" customHeight="true" outlineLevel="0" collapsed="false">
      <c r="A54" s="3" t="s">
        <v>62</v>
      </c>
      <c r="B54" s="3" t="s">
        <v>63</v>
      </c>
      <c r="C54" s="3" t="s">
        <v>26</v>
      </c>
      <c r="D54" s="3" t="s">
        <v>23</v>
      </c>
      <c r="E54" s="3" t="n">
        <v>495</v>
      </c>
      <c r="F54" s="3" t="n">
        <v>182</v>
      </c>
      <c r="G54" s="3" t="n">
        <v>132</v>
      </c>
      <c r="H54" s="3" t="n">
        <v>92</v>
      </c>
      <c r="I54" s="3" t="n">
        <v>89</v>
      </c>
      <c r="J54" s="5" t="n">
        <f aca="false">F54/E54</f>
        <v>0.367676767676768</v>
      </c>
      <c r="K54" s="5" t="n">
        <f aca="false">G54/E54</f>
        <v>0.266666666666667</v>
      </c>
      <c r="L54" s="5" t="n">
        <f aca="false">H54/E54</f>
        <v>0.185858585858586</v>
      </c>
      <c r="M54" s="5" t="n">
        <f aca="false">I54/E54</f>
        <v>0.17979797979798</v>
      </c>
      <c r="N54" s="5" t="n">
        <v>0.3</v>
      </c>
      <c r="O54" s="5" t="n">
        <f aca="false">J54-N54</f>
        <v>0.0676767676767677</v>
      </c>
    </row>
    <row r="55" customFormat="false" ht="15" hidden="false" customHeight="true" outlineLevel="0" collapsed="false">
      <c r="A55" s="6" t="s">
        <v>62</v>
      </c>
      <c r="B55" s="6" t="s">
        <v>63</v>
      </c>
      <c r="C55" s="6" t="s">
        <v>26</v>
      </c>
      <c r="D55" s="6" t="s">
        <v>42</v>
      </c>
      <c r="E55" s="6" t="n">
        <v>823</v>
      </c>
      <c r="F55" s="6" t="n">
        <v>269</v>
      </c>
      <c r="G55" s="6" t="n">
        <v>133</v>
      </c>
      <c r="H55" s="6" t="n">
        <v>156</v>
      </c>
      <c r="I55" s="6" t="n">
        <v>265</v>
      </c>
      <c r="J55" s="8" t="n">
        <f aca="false">F55/E55</f>
        <v>0.32685297691373</v>
      </c>
      <c r="K55" s="8" t="n">
        <f aca="false">G55/E55</f>
        <v>0.161603888213852</v>
      </c>
      <c r="L55" s="8" t="n">
        <f aca="false">H55/E55</f>
        <v>0.18955042527339</v>
      </c>
      <c r="M55" s="8" t="n">
        <f aca="false">I55/E55</f>
        <v>0.321992709599028</v>
      </c>
      <c r="N55" s="8" t="n">
        <v>0.39</v>
      </c>
      <c r="O55" s="8" t="n">
        <f aca="false">J55-N55</f>
        <v>-0.0631470230862697</v>
      </c>
    </row>
    <row r="56" customFormat="false" ht="15" hidden="false" customHeight="true" outlineLevel="0" collapsed="false">
      <c r="A56" s="3" t="s">
        <v>62</v>
      </c>
      <c r="B56" s="3" t="s">
        <v>63</v>
      </c>
      <c r="C56" s="3" t="s">
        <v>27</v>
      </c>
      <c r="D56" s="3" t="s">
        <v>23</v>
      </c>
      <c r="E56" s="3" t="n">
        <v>648</v>
      </c>
      <c r="F56" s="3" t="n">
        <v>236</v>
      </c>
      <c r="G56" s="3" t="n">
        <v>113</v>
      </c>
      <c r="H56" s="3" t="n">
        <v>89</v>
      </c>
      <c r="I56" s="3" t="n">
        <v>210</v>
      </c>
      <c r="J56" s="5" t="n">
        <f aca="false">F56/E56</f>
        <v>0.364197530864198</v>
      </c>
      <c r="K56" s="5" t="n">
        <f aca="false">G56/E56</f>
        <v>0.174382716049383</v>
      </c>
      <c r="L56" s="5" t="n">
        <f aca="false">H56/E56</f>
        <v>0.137345679012346</v>
      </c>
      <c r="M56" s="5" t="n">
        <f aca="false">I56/E56</f>
        <v>0.324074074074074</v>
      </c>
      <c r="N56" s="5" t="n">
        <v>0.31</v>
      </c>
      <c r="O56" s="5" t="n">
        <f aca="false">J56-N56</f>
        <v>0.0541975308641975</v>
      </c>
    </row>
    <row r="57" customFormat="false" ht="15" hidden="false" customHeight="true" outlineLevel="0" collapsed="false">
      <c r="A57" s="6" t="s">
        <v>62</v>
      </c>
      <c r="B57" s="6" t="s">
        <v>63</v>
      </c>
      <c r="C57" s="6" t="s">
        <v>27</v>
      </c>
      <c r="D57" s="6" t="s">
        <v>42</v>
      </c>
      <c r="E57" s="6" t="n">
        <v>708</v>
      </c>
      <c r="F57" s="6" t="n">
        <v>215</v>
      </c>
      <c r="G57" s="6" t="n">
        <v>121</v>
      </c>
      <c r="H57" s="6" t="n">
        <v>82</v>
      </c>
      <c r="I57" s="6" t="n">
        <v>290</v>
      </c>
      <c r="J57" s="8" t="n">
        <f aca="false">F57/E57</f>
        <v>0.303672316384181</v>
      </c>
      <c r="K57" s="8" t="n">
        <f aca="false">G57/E57</f>
        <v>0.17090395480226</v>
      </c>
      <c r="L57" s="8" t="n">
        <f aca="false">H57/E57</f>
        <v>0.115819209039548</v>
      </c>
      <c r="M57" s="8" t="n">
        <f aca="false">I57/E57</f>
        <v>0.409604519774011</v>
      </c>
      <c r="N57" s="8" t="n">
        <v>0.33</v>
      </c>
      <c r="O57" s="8" t="n">
        <f aca="false">J57-N57</f>
        <v>-0.0263276836158192</v>
      </c>
    </row>
    <row r="58" customFormat="false" ht="15" hidden="false" customHeight="true" outlineLevel="0" collapsed="false">
      <c r="A58" s="3" t="s">
        <v>62</v>
      </c>
      <c r="B58" s="3" t="s">
        <v>63</v>
      </c>
      <c r="C58" s="3" t="s">
        <v>28</v>
      </c>
      <c r="D58" s="3" t="s">
        <v>23</v>
      </c>
      <c r="E58" s="3" t="n">
        <v>706</v>
      </c>
      <c r="F58" s="3" t="n">
        <v>244</v>
      </c>
      <c r="G58" s="3" t="n">
        <v>114</v>
      </c>
      <c r="H58" s="3" t="n">
        <v>88</v>
      </c>
      <c r="I58" s="3" t="n">
        <v>260</v>
      </c>
      <c r="J58" s="5" t="n">
        <f aca="false">F58/E58</f>
        <v>0.345609065155807</v>
      </c>
      <c r="K58" s="5" t="n">
        <f aca="false">G58/E58</f>
        <v>0.161473087818697</v>
      </c>
      <c r="L58" s="5" t="n">
        <f aca="false">H58/E58</f>
        <v>0.124645892351275</v>
      </c>
      <c r="M58" s="5" t="n">
        <f aca="false">I58/E58</f>
        <v>0.368271954674221</v>
      </c>
      <c r="N58" s="5" t="n">
        <v>0.32</v>
      </c>
      <c r="O58" s="5" t="n">
        <f aca="false">J58-N58</f>
        <v>0.0256090651558074</v>
      </c>
    </row>
    <row r="59" customFormat="false" ht="15" hidden="false" customHeight="true" outlineLevel="0" collapsed="false">
      <c r="A59" s="6" t="s">
        <v>62</v>
      </c>
      <c r="B59" s="6" t="s">
        <v>63</v>
      </c>
      <c r="C59" s="6" t="s">
        <v>28</v>
      </c>
      <c r="D59" s="6" t="s">
        <v>42</v>
      </c>
      <c r="E59" s="6" t="n">
        <v>907</v>
      </c>
      <c r="F59" s="6" t="n">
        <v>334</v>
      </c>
      <c r="G59" s="6" t="n">
        <v>162</v>
      </c>
      <c r="H59" s="6" t="n">
        <v>100</v>
      </c>
      <c r="I59" s="6" t="n">
        <v>311</v>
      </c>
      <c r="J59" s="8" t="n">
        <f aca="false">F59/E59</f>
        <v>0.368246968026461</v>
      </c>
      <c r="K59" s="8" t="n">
        <f aca="false">G59/E59</f>
        <v>0.178610804851158</v>
      </c>
      <c r="L59" s="8" t="n">
        <f aca="false">H59/E59</f>
        <v>0.110253583241455</v>
      </c>
      <c r="M59" s="8" t="n">
        <f aca="false">I59/E59</f>
        <v>0.342888643880926</v>
      </c>
      <c r="N59" s="8" t="n">
        <v>0.33</v>
      </c>
      <c r="O59" s="8" t="n">
        <f aca="false">J59-N59</f>
        <v>0.0382469680264608</v>
      </c>
    </row>
    <row r="60" customFormat="false" ht="15" hidden="false" customHeight="true" outlineLevel="0" collapsed="false">
      <c r="A60" s="3" t="s">
        <v>62</v>
      </c>
      <c r="B60" s="3" t="s">
        <v>63</v>
      </c>
      <c r="C60" s="3" t="s">
        <v>29</v>
      </c>
      <c r="D60" s="3" t="s">
        <v>23</v>
      </c>
      <c r="E60" s="3" t="n">
        <v>805</v>
      </c>
      <c r="F60" s="3" t="n">
        <v>254</v>
      </c>
      <c r="G60" s="3" t="n">
        <v>195</v>
      </c>
      <c r="H60" s="3" t="n">
        <v>145</v>
      </c>
      <c r="I60" s="3" t="n">
        <v>211</v>
      </c>
      <c r="J60" s="5" t="n">
        <f aca="false">F60/E60</f>
        <v>0.315527950310559</v>
      </c>
      <c r="K60" s="5" t="n">
        <f aca="false">G60/E60</f>
        <v>0.242236024844721</v>
      </c>
      <c r="L60" s="5" t="n">
        <f aca="false">H60/E60</f>
        <v>0.180124223602484</v>
      </c>
      <c r="M60" s="5" t="n">
        <f aca="false">I60/E60</f>
        <v>0.262111801242236</v>
      </c>
      <c r="N60" s="5" t="n">
        <v>0.33</v>
      </c>
      <c r="O60" s="5" t="n">
        <f aca="false">J60-N60</f>
        <v>-0.014472049689441</v>
      </c>
    </row>
    <row r="61" customFormat="false" ht="15" hidden="false" customHeight="true" outlineLevel="0" collapsed="false">
      <c r="A61" s="6" t="s">
        <v>62</v>
      </c>
      <c r="B61" s="6" t="s">
        <v>63</v>
      </c>
      <c r="C61" s="6" t="s">
        <v>29</v>
      </c>
      <c r="D61" s="6" t="s">
        <v>42</v>
      </c>
      <c r="E61" s="6" t="n">
        <v>742</v>
      </c>
      <c r="F61" s="6" t="n">
        <v>249</v>
      </c>
      <c r="G61" s="6" t="n">
        <v>202</v>
      </c>
      <c r="H61" s="6" t="n">
        <v>122</v>
      </c>
      <c r="I61" s="6" t="n">
        <v>169</v>
      </c>
      <c r="J61" s="8" t="n">
        <f aca="false">F61/E61</f>
        <v>0.335579514824798</v>
      </c>
      <c r="K61" s="8" t="n">
        <f aca="false">G61/E61</f>
        <v>0.272237196765499</v>
      </c>
      <c r="L61" s="8" t="n">
        <f aca="false">H61/E61</f>
        <v>0.164420485175202</v>
      </c>
      <c r="M61" s="8" t="n">
        <f aca="false">I61/E61</f>
        <v>0.227762803234501</v>
      </c>
      <c r="N61" s="8" t="n">
        <v>0.36</v>
      </c>
      <c r="O61" s="8" t="n">
        <f aca="false">J61-N61</f>
        <v>-0.0244204851752021</v>
      </c>
    </row>
    <row r="62" customFormat="false" ht="15" hidden="false" customHeight="true" outlineLevel="0" collapsed="false">
      <c r="A62" s="3" t="s">
        <v>66</v>
      </c>
      <c r="B62" s="3" t="s">
        <v>67</v>
      </c>
      <c r="C62" s="3" t="s">
        <v>24</v>
      </c>
      <c r="D62" s="3" t="s">
        <v>23</v>
      </c>
      <c r="E62" s="3" t="n">
        <v>707</v>
      </c>
      <c r="F62" s="3" t="n">
        <v>222</v>
      </c>
      <c r="G62" s="3" t="n">
        <v>206</v>
      </c>
      <c r="H62" s="3" t="n">
        <v>84</v>
      </c>
      <c r="I62" s="3" t="n">
        <v>195</v>
      </c>
      <c r="J62" s="5" t="n">
        <f aca="false">F62/E62</f>
        <v>0.314002828854314</v>
      </c>
      <c r="K62" s="5" t="n">
        <f aca="false">G62/E62</f>
        <v>0.291371994342291</v>
      </c>
      <c r="L62" s="5" t="n">
        <f aca="false">H62/E62</f>
        <v>0.118811881188119</v>
      </c>
      <c r="M62" s="5" t="n">
        <f aca="false">I62/E62</f>
        <v>0.275813295615276</v>
      </c>
      <c r="N62" s="5" t="n">
        <v>0.33</v>
      </c>
      <c r="O62" s="5" t="n">
        <f aca="false">J62-N62</f>
        <v>-0.015997171145686</v>
      </c>
    </row>
    <row r="63" customFormat="false" ht="15" hidden="false" customHeight="true" outlineLevel="0" collapsed="false">
      <c r="A63" s="6" t="s">
        <v>66</v>
      </c>
      <c r="B63" s="6" t="s">
        <v>67</v>
      </c>
      <c r="C63" s="6" t="s">
        <v>24</v>
      </c>
      <c r="D63" s="6" t="s">
        <v>42</v>
      </c>
      <c r="E63" s="6" t="n">
        <v>807</v>
      </c>
      <c r="F63" s="6" t="n">
        <v>358</v>
      </c>
      <c r="G63" s="6" t="n">
        <v>156</v>
      </c>
      <c r="H63" s="6" t="n">
        <v>136</v>
      </c>
      <c r="I63" s="6" t="n">
        <v>157</v>
      </c>
      <c r="J63" s="8" t="n">
        <f aca="false">F63/E63</f>
        <v>0.44361833952912</v>
      </c>
      <c r="K63" s="8" t="n">
        <f aca="false">G63/E63</f>
        <v>0.193308550185874</v>
      </c>
      <c r="L63" s="8" t="n">
        <f aca="false">H63/E63</f>
        <v>0.168525402726146</v>
      </c>
      <c r="M63" s="8" t="n">
        <f aca="false">I63/E63</f>
        <v>0.19454770755886</v>
      </c>
      <c r="N63" s="8" t="n">
        <v>0.35</v>
      </c>
      <c r="O63" s="8" t="n">
        <f aca="false">J63-N63</f>
        <v>0.0936183395291202</v>
      </c>
    </row>
    <row r="64" customFormat="false" ht="15" hidden="false" customHeight="true" outlineLevel="0" collapsed="false">
      <c r="A64" s="3" t="s">
        <v>66</v>
      </c>
      <c r="B64" s="3" t="s">
        <v>67</v>
      </c>
      <c r="C64" s="3" t="s">
        <v>25</v>
      </c>
      <c r="D64" s="3" t="s">
        <v>23</v>
      </c>
      <c r="E64" s="3" t="n">
        <v>989</v>
      </c>
      <c r="F64" s="3" t="n">
        <v>401</v>
      </c>
      <c r="G64" s="3" t="n">
        <v>196</v>
      </c>
      <c r="H64" s="3" t="n">
        <v>126</v>
      </c>
      <c r="I64" s="3" t="n">
        <v>266</v>
      </c>
      <c r="J64" s="5" t="n">
        <f aca="false">F64/E64</f>
        <v>0.405460060667341</v>
      </c>
      <c r="K64" s="5" t="n">
        <f aca="false">G64/E64</f>
        <v>0.198179979777553</v>
      </c>
      <c r="L64" s="5" t="n">
        <f aca="false">H64/E64</f>
        <v>0.127401415571284</v>
      </c>
      <c r="M64" s="5" t="n">
        <f aca="false">I64/E64</f>
        <v>0.268958543983822</v>
      </c>
      <c r="N64" s="5" t="n">
        <v>0.38</v>
      </c>
      <c r="O64" s="5" t="n">
        <f aca="false">J64-N64</f>
        <v>0.0254600606673407</v>
      </c>
    </row>
    <row r="65" customFormat="false" ht="15" hidden="false" customHeight="true" outlineLevel="0" collapsed="false">
      <c r="A65" s="6" t="s">
        <v>66</v>
      </c>
      <c r="B65" s="6" t="s">
        <v>67</v>
      </c>
      <c r="C65" s="6" t="s">
        <v>25</v>
      </c>
      <c r="D65" s="6" t="s">
        <v>42</v>
      </c>
      <c r="E65" s="6" t="n">
        <v>773</v>
      </c>
      <c r="F65" s="6" t="n">
        <v>210</v>
      </c>
      <c r="G65" s="6" t="n">
        <v>181</v>
      </c>
      <c r="H65" s="6" t="n">
        <v>123</v>
      </c>
      <c r="I65" s="6" t="n">
        <v>259</v>
      </c>
      <c r="J65" s="8" t="n">
        <f aca="false">F65/E65</f>
        <v>0.271668822768435</v>
      </c>
      <c r="K65" s="8" t="n">
        <f aca="false">G65/E65</f>
        <v>0.234152652005175</v>
      </c>
      <c r="L65" s="8" t="n">
        <f aca="false">H65/E65</f>
        <v>0.159120310478655</v>
      </c>
      <c r="M65" s="8" t="n">
        <f aca="false">I65/E65</f>
        <v>0.335058214747736</v>
      </c>
      <c r="N65" s="8" t="n">
        <v>0.35</v>
      </c>
      <c r="O65" s="8" t="n">
        <f aca="false">J65-N65</f>
        <v>-0.0783311772315653</v>
      </c>
    </row>
    <row r="66" customFormat="false" ht="15" hidden="false" customHeight="true" outlineLevel="0" collapsed="false">
      <c r="A66" s="3" t="s">
        <v>66</v>
      </c>
      <c r="B66" s="3" t="s">
        <v>67</v>
      </c>
      <c r="C66" s="3" t="s">
        <v>26</v>
      </c>
      <c r="D66" s="3" t="s">
        <v>23</v>
      </c>
      <c r="E66" s="3" t="n">
        <v>963</v>
      </c>
      <c r="F66" s="3" t="n">
        <v>245</v>
      </c>
      <c r="G66" s="3" t="n">
        <v>249</v>
      </c>
      <c r="H66" s="3" t="n">
        <v>187</v>
      </c>
      <c r="I66" s="3" t="n">
        <v>282</v>
      </c>
      <c r="J66" s="5" t="n">
        <f aca="false">F66/E66</f>
        <v>0.254413291796469</v>
      </c>
      <c r="K66" s="5" t="n">
        <f aca="false">G66/E66</f>
        <v>0.258566978193146</v>
      </c>
      <c r="L66" s="5" t="n">
        <f aca="false">H66/E66</f>
        <v>0.194184839044652</v>
      </c>
      <c r="M66" s="5" t="n">
        <f aca="false">I66/E66</f>
        <v>0.292834890965732</v>
      </c>
      <c r="N66" s="5" t="n">
        <v>0.32</v>
      </c>
      <c r="O66" s="5" t="n">
        <f aca="false">J66-N66</f>
        <v>-0.0655867082035306</v>
      </c>
    </row>
    <row r="67" customFormat="false" ht="15" hidden="false" customHeight="true" outlineLevel="0" collapsed="false">
      <c r="A67" s="6" t="s">
        <v>66</v>
      </c>
      <c r="B67" s="6" t="s">
        <v>67</v>
      </c>
      <c r="C67" s="6" t="s">
        <v>26</v>
      </c>
      <c r="D67" s="6" t="s">
        <v>42</v>
      </c>
      <c r="E67" s="6" t="n">
        <v>698</v>
      </c>
      <c r="F67" s="6" t="n">
        <v>290</v>
      </c>
      <c r="G67" s="6" t="n">
        <v>111</v>
      </c>
      <c r="H67" s="6" t="n">
        <v>128</v>
      </c>
      <c r="I67" s="6" t="n">
        <v>169</v>
      </c>
      <c r="J67" s="8" t="n">
        <f aca="false">F67/E67</f>
        <v>0.415472779369628</v>
      </c>
      <c r="K67" s="8" t="n">
        <f aca="false">G67/E67</f>
        <v>0.159025787965616</v>
      </c>
      <c r="L67" s="8" t="n">
        <f aca="false">H67/E67</f>
        <v>0.183381088825215</v>
      </c>
      <c r="M67" s="8" t="n">
        <f aca="false">I67/E67</f>
        <v>0.242120343839542</v>
      </c>
      <c r="N67" s="8" t="n">
        <v>0.38</v>
      </c>
      <c r="O67" s="8" t="n">
        <f aca="false">J67-N67</f>
        <v>0.0354727793696275</v>
      </c>
    </row>
    <row r="68" customFormat="false" ht="15" hidden="false" customHeight="true" outlineLevel="0" collapsed="false">
      <c r="A68" s="3" t="s">
        <v>66</v>
      </c>
      <c r="B68" s="3" t="s">
        <v>67</v>
      </c>
      <c r="C68" s="3" t="s">
        <v>27</v>
      </c>
      <c r="D68" s="3" t="s">
        <v>23</v>
      </c>
      <c r="E68" s="3" t="n">
        <v>911</v>
      </c>
      <c r="F68" s="3" t="n">
        <v>253</v>
      </c>
      <c r="G68" s="3" t="n">
        <v>178</v>
      </c>
      <c r="H68" s="3" t="n">
        <v>114</v>
      </c>
      <c r="I68" s="3" t="n">
        <v>366</v>
      </c>
      <c r="J68" s="5" t="n">
        <f aca="false">F68/E68</f>
        <v>0.277716794731065</v>
      </c>
      <c r="K68" s="5" t="n">
        <f aca="false">G68/E68</f>
        <v>0.195389681668496</v>
      </c>
      <c r="L68" s="5" t="n">
        <f aca="false">H68/E68</f>
        <v>0.125137211855104</v>
      </c>
      <c r="M68" s="5" t="n">
        <f aca="false">I68/E68</f>
        <v>0.401756311745335</v>
      </c>
      <c r="N68" s="5" t="n">
        <v>0.32</v>
      </c>
      <c r="O68" s="5" t="n">
        <f aca="false">J68-N68</f>
        <v>-0.0422832052689353</v>
      </c>
    </row>
    <row r="69" customFormat="false" ht="15" hidden="false" customHeight="true" outlineLevel="0" collapsed="false">
      <c r="A69" s="6" t="s">
        <v>66</v>
      </c>
      <c r="B69" s="6" t="s">
        <v>67</v>
      </c>
      <c r="C69" s="6" t="s">
        <v>27</v>
      </c>
      <c r="D69" s="6" t="s">
        <v>42</v>
      </c>
      <c r="E69" s="6" t="n">
        <v>833</v>
      </c>
      <c r="F69" s="6" t="n">
        <v>339</v>
      </c>
      <c r="G69" s="6" t="n">
        <v>134</v>
      </c>
      <c r="H69" s="6" t="n">
        <v>165</v>
      </c>
      <c r="I69" s="6" t="n">
        <v>195</v>
      </c>
      <c r="J69" s="8" t="n">
        <f aca="false">F69/E69</f>
        <v>0.406962785114046</v>
      </c>
      <c r="K69" s="8" t="n">
        <f aca="false">G69/E69</f>
        <v>0.160864345738295</v>
      </c>
      <c r="L69" s="8" t="n">
        <f aca="false">H69/E69</f>
        <v>0.198079231692677</v>
      </c>
      <c r="M69" s="8" t="n">
        <f aca="false">I69/E69</f>
        <v>0.234093637454982</v>
      </c>
      <c r="N69" s="8" t="n">
        <v>0.35</v>
      </c>
      <c r="O69" s="8" t="n">
        <f aca="false">J69-N69</f>
        <v>0.0569627851140456</v>
      </c>
    </row>
    <row r="70" customFormat="false" ht="15" hidden="false" customHeight="true" outlineLevel="0" collapsed="false">
      <c r="A70" s="3" t="s">
        <v>66</v>
      </c>
      <c r="B70" s="3" t="s">
        <v>67</v>
      </c>
      <c r="C70" s="3" t="s">
        <v>28</v>
      </c>
      <c r="D70" s="3" t="s">
        <v>23</v>
      </c>
      <c r="E70" s="3" t="n">
        <v>810</v>
      </c>
      <c r="F70" s="3" t="n">
        <v>289</v>
      </c>
      <c r="G70" s="3" t="n">
        <v>233</v>
      </c>
      <c r="H70" s="3" t="n">
        <v>151</v>
      </c>
      <c r="I70" s="3" t="n">
        <v>137</v>
      </c>
      <c r="J70" s="5" t="n">
        <f aca="false">F70/E70</f>
        <v>0.35679012345679</v>
      </c>
      <c r="K70" s="5" t="n">
        <f aca="false">G70/E70</f>
        <v>0.287654320987654</v>
      </c>
      <c r="L70" s="5" t="n">
        <f aca="false">H70/E70</f>
        <v>0.18641975308642</v>
      </c>
      <c r="M70" s="5" t="n">
        <f aca="false">I70/E70</f>
        <v>0.169135802469136</v>
      </c>
      <c r="N70" s="5" t="n">
        <v>0.34</v>
      </c>
      <c r="O70" s="5" t="n">
        <f aca="false">J70-N70</f>
        <v>0.0167901234567901</v>
      </c>
    </row>
    <row r="71" customFormat="false" ht="15" hidden="false" customHeight="true" outlineLevel="0" collapsed="false">
      <c r="A71" s="6" t="s">
        <v>66</v>
      </c>
      <c r="B71" s="6" t="s">
        <v>67</v>
      </c>
      <c r="C71" s="6" t="s">
        <v>28</v>
      </c>
      <c r="D71" s="6" t="s">
        <v>42</v>
      </c>
      <c r="E71" s="6" t="n">
        <v>437</v>
      </c>
      <c r="F71" s="6" t="n">
        <v>178</v>
      </c>
      <c r="G71" s="6" t="n">
        <v>89</v>
      </c>
      <c r="H71" s="6" t="n">
        <v>82</v>
      </c>
      <c r="I71" s="6" t="n">
        <v>88</v>
      </c>
      <c r="J71" s="8" t="n">
        <f aca="false">F71/E71</f>
        <v>0.407322654462243</v>
      </c>
      <c r="K71" s="8" t="n">
        <f aca="false">G71/E71</f>
        <v>0.203661327231121</v>
      </c>
      <c r="L71" s="8" t="n">
        <f aca="false">H71/E71</f>
        <v>0.187643020594966</v>
      </c>
      <c r="M71" s="8" t="n">
        <f aca="false">I71/E71</f>
        <v>0.20137299771167</v>
      </c>
      <c r="N71" s="8" t="n">
        <v>0.35</v>
      </c>
      <c r="O71" s="8" t="n">
        <f aca="false">J71-N71</f>
        <v>0.0573226544622426</v>
      </c>
    </row>
    <row r="72" customFormat="false" ht="15" hidden="false" customHeight="true" outlineLevel="0" collapsed="false">
      <c r="A72" s="3" t="s">
        <v>66</v>
      </c>
      <c r="B72" s="3" t="s">
        <v>67</v>
      </c>
      <c r="C72" s="3" t="s">
        <v>29</v>
      </c>
      <c r="D72" s="3" t="s">
        <v>23</v>
      </c>
      <c r="E72" s="3" t="n">
        <v>487</v>
      </c>
      <c r="F72" s="3" t="n">
        <v>132</v>
      </c>
      <c r="G72" s="3" t="n">
        <v>91</v>
      </c>
      <c r="H72" s="3" t="n">
        <v>81</v>
      </c>
      <c r="I72" s="3" t="n">
        <v>183</v>
      </c>
      <c r="J72" s="5" t="n">
        <f aca="false">F72/E72</f>
        <v>0.271047227926078</v>
      </c>
      <c r="K72" s="5" t="n">
        <f aca="false">G72/E72</f>
        <v>0.186858316221766</v>
      </c>
      <c r="L72" s="5" t="n">
        <f aca="false">H72/E72</f>
        <v>0.166324435318275</v>
      </c>
      <c r="M72" s="5" t="n">
        <f aca="false">I72/E72</f>
        <v>0.375770020533881</v>
      </c>
      <c r="N72" s="5" t="n">
        <v>0.32</v>
      </c>
      <c r="O72" s="5" t="n">
        <f aca="false">J72-N72</f>
        <v>-0.048952772073922</v>
      </c>
    </row>
    <row r="73" customFormat="false" ht="15" hidden="false" customHeight="true" outlineLevel="0" collapsed="false">
      <c r="A73" s="6" t="s">
        <v>66</v>
      </c>
      <c r="B73" s="6" t="s">
        <v>67</v>
      </c>
      <c r="C73" s="6" t="s">
        <v>29</v>
      </c>
      <c r="D73" s="6" t="s">
        <v>42</v>
      </c>
      <c r="E73" s="6" t="n">
        <v>445</v>
      </c>
      <c r="F73" s="6" t="n">
        <v>161</v>
      </c>
      <c r="G73" s="6" t="n">
        <v>109</v>
      </c>
      <c r="H73" s="6" t="n">
        <v>73</v>
      </c>
      <c r="I73" s="6" t="n">
        <v>102</v>
      </c>
      <c r="J73" s="8" t="n">
        <f aca="false">F73/E73</f>
        <v>0.361797752808989</v>
      </c>
      <c r="K73" s="8" t="n">
        <f aca="false">G73/E73</f>
        <v>0.244943820224719</v>
      </c>
      <c r="L73" s="8" t="n">
        <f aca="false">H73/E73</f>
        <v>0.164044943820225</v>
      </c>
      <c r="M73" s="8" t="n">
        <f aca="false">I73/E73</f>
        <v>0.229213483146067</v>
      </c>
      <c r="N73" s="8" t="n">
        <v>0.4</v>
      </c>
      <c r="O73" s="8" t="n">
        <f aca="false">J73-N73</f>
        <v>-0.0382022471910113</v>
      </c>
    </row>
    <row r="74" customFormat="false" ht="15" hidden="false" customHeight="true" outlineLevel="0" collapsed="false">
      <c r="A74" s="3" t="s">
        <v>69</v>
      </c>
      <c r="B74" s="3" t="s">
        <v>70</v>
      </c>
      <c r="C74" s="3" t="s">
        <v>24</v>
      </c>
      <c r="D74" s="3" t="s">
        <v>23</v>
      </c>
      <c r="E74" s="3" t="n">
        <v>739</v>
      </c>
      <c r="F74" s="3" t="n">
        <v>327</v>
      </c>
      <c r="G74" s="3" t="n">
        <v>158</v>
      </c>
      <c r="H74" s="3" t="n">
        <v>74</v>
      </c>
      <c r="I74" s="3" t="n">
        <v>180</v>
      </c>
      <c r="J74" s="5" t="n">
        <f aca="false">F74/E74</f>
        <v>0.442489851150203</v>
      </c>
      <c r="K74" s="5" t="n">
        <f aca="false">G74/E74</f>
        <v>0.213802435723951</v>
      </c>
      <c r="L74" s="5" t="n">
        <f aca="false">H74/E74</f>
        <v>0.100135317997294</v>
      </c>
      <c r="M74" s="5" t="n">
        <f aca="false">I74/E74</f>
        <v>0.243572395128552</v>
      </c>
      <c r="N74" s="5" t="n">
        <v>0.33</v>
      </c>
      <c r="O74" s="5" t="n">
        <f aca="false">J74-N74</f>
        <v>0.112489851150203</v>
      </c>
    </row>
    <row r="75" customFormat="false" ht="15" hidden="false" customHeight="true" outlineLevel="0" collapsed="false">
      <c r="A75" s="6" t="s">
        <v>69</v>
      </c>
      <c r="B75" s="6" t="s">
        <v>70</v>
      </c>
      <c r="C75" s="6" t="s">
        <v>24</v>
      </c>
      <c r="D75" s="6" t="s">
        <v>42</v>
      </c>
      <c r="E75" s="6" t="n">
        <v>922</v>
      </c>
      <c r="F75" s="6" t="n">
        <v>368</v>
      </c>
      <c r="G75" s="6" t="n">
        <v>215</v>
      </c>
      <c r="H75" s="6" t="n">
        <v>155</v>
      </c>
      <c r="I75" s="6" t="n">
        <v>184</v>
      </c>
      <c r="J75" s="8" t="n">
        <f aca="false">F75/E75</f>
        <v>0.399132321041215</v>
      </c>
      <c r="K75" s="8" t="n">
        <f aca="false">G75/E75</f>
        <v>0.233188720173536</v>
      </c>
      <c r="L75" s="8" t="n">
        <f aca="false">H75/E75</f>
        <v>0.168112798264642</v>
      </c>
      <c r="M75" s="8" t="n">
        <f aca="false">I75/E75</f>
        <v>0.199566160520607</v>
      </c>
      <c r="N75" s="8" t="n">
        <v>0.32</v>
      </c>
      <c r="O75" s="8" t="n">
        <f aca="false">J75-N75</f>
        <v>0.0791323210412148</v>
      </c>
    </row>
    <row r="76" customFormat="false" ht="15" hidden="false" customHeight="true" outlineLevel="0" collapsed="false">
      <c r="A76" s="3" t="s">
        <v>69</v>
      </c>
      <c r="B76" s="3" t="s">
        <v>70</v>
      </c>
      <c r="C76" s="3" t="s">
        <v>25</v>
      </c>
      <c r="D76" s="3" t="s">
        <v>23</v>
      </c>
      <c r="E76" s="3" t="n">
        <v>783</v>
      </c>
      <c r="F76" s="3" t="n">
        <v>257</v>
      </c>
      <c r="G76" s="3" t="n">
        <v>208</v>
      </c>
      <c r="H76" s="3" t="n">
        <v>124</v>
      </c>
      <c r="I76" s="3" t="n">
        <v>194</v>
      </c>
      <c r="J76" s="5" t="n">
        <f aca="false">F76/E76</f>
        <v>0.328224776500639</v>
      </c>
      <c r="K76" s="5" t="n">
        <f aca="false">G76/E76</f>
        <v>0.265644955300128</v>
      </c>
      <c r="L76" s="5" t="n">
        <f aca="false">H76/E76</f>
        <v>0.158365261813538</v>
      </c>
      <c r="M76" s="5" t="n">
        <f aca="false">I76/E76</f>
        <v>0.247765006385696</v>
      </c>
      <c r="N76" s="5" t="n">
        <v>0.35</v>
      </c>
      <c r="O76" s="5" t="n">
        <f aca="false">J76-N76</f>
        <v>-0.0217752234993614</v>
      </c>
    </row>
    <row r="77" customFormat="false" ht="15" hidden="false" customHeight="true" outlineLevel="0" collapsed="false">
      <c r="A77" s="6" t="s">
        <v>69</v>
      </c>
      <c r="B77" s="6" t="s">
        <v>70</v>
      </c>
      <c r="C77" s="6" t="s">
        <v>25</v>
      </c>
      <c r="D77" s="6" t="s">
        <v>42</v>
      </c>
      <c r="E77" s="6" t="n">
        <v>753</v>
      </c>
      <c r="F77" s="6" t="n">
        <v>338</v>
      </c>
      <c r="G77" s="6" t="n">
        <v>167</v>
      </c>
      <c r="H77" s="6" t="n">
        <v>97</v>
      </c>
      <c r="I77" s="6" t="n">
        <v>151</v>
      </c>
      <c r="J77" s="8" t="n">
        <f aca="false">F77/E77</f>
        <v>0.448871181938911</v>
      </c>
      <c r="K77" s="8" t="n">
        <f aca="false">G77/E77</f>
        <v>0.221779548472776</v>
      </c>
      <c r="L77" s="8" t="n">
        <f aca="false">H77/E77</f>
        <v>0.128818061088977</v>
      </c>
      <c r="M77" s="8" t="n">
        <f aca="false">I77/E77</f>
        <v>0.200531208499336</v>
      </c>
      <c r="N77" s="8" t="n">
        <v>0.39</v>
      </c>
      <c r="O77" s="8" t="n">
        <f aca="false">J77-N77</f>
        <v>0.058871181938911</v>
      </c>
    </row>
    <row r="78" customFormat="false" ht="15" hidden="false" customHeight="true" outlineLevel="0" collapsed="false">
      <c r="A78" s="3" t="s">
        <v>69</v>
      </c>
      <c r="B78" s="3" t="s">
        <v>70</v>
      </c>
      <c r="C78" s="3" t="s">
        <v>26</v>
      </c>
      <c r="D78" s="3" t="s">
        <v>23</v>
      </c>
      <c r="E78" s="3" t="n">
        <v>487</v>
      </c>
      <c r="F78" s="3" t="n">
        <v>133</v>
      </c>
      <c r="G78" s="3" t="n">
        <v>141</v>
      </c>
      <c r="H78" s="3" t="n">
        <v>55</v>
      </c>
      <c r="I78" s="3" t="n">
        <v>158</v>
      </c>
      <c r="J78" s="5" t="n">
        <f aca="false">F78/E78</f>
        <v>0.273100616016427</v>
      </c>
      <c r="K78" s="5" t="n">
        <f aca="false">G78/E78</f>
        <v>0.28952772073922</v>
      </c>
      <c r="L78" s="5" t="n">
        <f aca="false">H78/E78</f>
        <v>0.112936344969199</v>
      </c>
      <c r="M78" s="5" t="n">
        <f aca="false">I78/E78</f>
        <v>0.324435318275154</v>
      </c>
      <c r="N78" s="5" t="n">
        <v>0.33</v>
      </c>
      <c r="O78" s="5" t="n">
        <f aca="false">J78-N78</f>
        <v>-0.0568993839835729</v>
      </c>
    </row>
    <row r="79" customFormat="false" ht="15" hidden="false" customHeight="true" outlineLevel="0" collapsed="false">
      <c r="A79" s="6" t="s">
        <v>69</v>
      </c>
      <c r="B79" s="6" t="s">
        <v>70</v>
      </c>
      <c r="C79" s="6" t="s">
        <v>26</v>
      </c>
      <c r="D79" s="6" t="s">
        <v>42</v>
      </c>
      <c r="E79" s="6" t="n">
        <v>866</v>
      </c>
      <c r="F79" s="6" t="n">
        <v>352</v>
      </c>
      <c r="G79" s="6" t="n">
        <v>197</v>
      </c>
      <c r="H79" s="6" t="n">
        <v>116</v>
      </c>
      <c r="I79" s="6" t="n">
        <v>201</v>
      </c>
      <c r="J79" s="8" t="n">
        <f aca="false">F79/E79</f>
        <v>0.406466512702079</v>
      </c>
      <c r="K79" s="8" t="n">
        <f aca="false">G79/E79</f>
        <v>0.227482678983834</v>
      </c>
      <c r="L79" s="8" t="n">
        <f aca="false">H79/E79</f>
        <v>0.133949191685912</v>
      </c>
      <c r="M79" s="8" t="n">
        <f aca="false">I79/E79</f>
        <v>0.232101616628176</v>
      </c>
      <c r="N79" s="8" t="n">
        <v>0.31</v>
      </c>
      <c r="O79" s="8" t="n">
        <f aca="false">J79-N79</f>
        <v>0.0964665127020785</v>
      </c>
    </row>
    <row r="80" customFormat="false" ht="15" hidden="false" customHeight="true" outlineLevel="0" collapsed="false">
      <c r="A80" s="3" t="s">
        <v>69</v>
      </c>
      <c r="B80" s="3" t="s">
        <v>70</v>
      </c>
      <c r="C80" s="3" t="s">
        <v>27</v>
      </c>
      <c r="D80" s="3" t="s">
        <v>23</v>
      </c>
      <c r="E80" s="3" t="n">
        <v>863</v>
      </c>
      <c r="F80" s="3" t="n">
        <v>270</v>
      </c>
      <c r="G80" s="3" t="n">
        <v>168</v>
      </c>
      <c r="H80" s="3" t="n">
        <v>156</v>
      </c>
      <c r="I80" s="3" t="n">
        <v>269</v>
      </c>
      <c r="J80" s="5" t="n">
        <f aca="false">F80/E80</f>
        <v>0.312862108922364</v>
      </c>
      <c r="K80" s="5" t="n">
        <f aca="false">G80/E80</f>
        <v>0.194669756662804</v>
      </c>
      <c r="L80" s="5" t="n">
        <f aca="false">H80/E80</f>
        <v>0.180764774044032</v>
      </c>
      <c r="M80" s="5" t="n">
        <f aca="false">I80/E80</f>
        <v>0.3117033603708</v>
      </c>
      <c r="N80" s="5" t="n">
        <v>0.31</v>
      </c>
      <c r="O80" s="5" t="n">
        <f aca="false">J80-N80</f>
        <v>0.00286210892236383</v>
      </c>
    </row>
    <row r="81" customFormat="false" ht="15" hidden="false" customHeight="true" outlineLevel="0" collapsed="false">
      <c r="A81" s="6" t="s">
        <v>69</v>
      </c>
      <c r="B81" s="6" t="s">
        <v>70</v>
      </c>
      <c r="C81" s="6" t="s">
        <v>27</v>
      </c>
      <c r="D81" s="6" t="s">
        <v>42</v>
      </c>
      <c r="E81" s="6" t="n">
        <v>751</v>
      </c>
      <c r="F81" s="6" t="n">
        <v>285</v>
      </c>
      <c r="G81" s="6" t="n">
        <v>188</v>
      </c>
      <c r="H81" s="6" t="n">
        <v>87</v>
      </c>
      <c r="I81" s="6" t="n">
        <v>191</v>
      </c>
      <c r="J81" s="8" t="n">
        <f aca="false">F81/E81</f>
        <v>0.379494007989348</v>
      </c>
      <c r="K81" s="8" t="n">
        <f aca="false">G81/E81</f>
        <v>0.250332889480692</v>
      </c>
      <c r="L81" s="8" t="n">
        <f aca="false">H81/E81</f>
        <v>0.115845539280959</v>
      </c>
      <c r="M81" s="8" t="n">
        <f aca="false">I81/E81</f>
        <v>0.254327563249001</v>
      </c>
      <c r="N81" s="8" t="n">
        <v>0.4</v>
      </c>
      <c r="O81" s="8" t="n">
        <f aca="false">J81-N81</f>
        <v>-0.0205059920106525</v>
      </c>
    </row>
    <row r="82" customFormat="false" ht="15" hidden="false" customHeight="true" outlineLevel="0" collapsed="false">
      <c r="A82" s="3" t="s">
        <v>69</v>
      </c>
      <c r="B82" s="3" t="s">
        <v>70</v>
      </c>
      <c r="C82" s="3" t="s">
        <v>28</v>
      </c>
      <c r="D82" s="3" t="s">
        <v>23</v>
      </c>
      <c r="E82" s="3" t="n">
        <v>649</v>
      </c>
      <c r="F82" s="3" t="n">
        <v>229</v>
      </c>
      <c r="G82" s="3" t="n">
        <v>151</v>
      </c>
      <c r="H82" s="3" t="n">
        <v>86</v>
      </c>
      <c r="I82" s="3" t="n">
        <v>183</v>
      </c>
      <c r="J82" s="5" t="n">
        <f aca="false">F82/E82</f>
        <v>0.352850539291217</v>
      </c>
      <c r="K82" s="5" t="n">
        <f aca="false">G82/E82</f>
        <v>0.2326656394453</v>
      </c>
      <c r="L82" s="5" t="n">
        <f aca="false">H82/E82</f>
        <v>0.13251155624037</v>
      </c>
      <c r="M82" s="5" t="n">
        <f aca="false">I82/E82</f>
        <v>0.281972265023112</v>
      </c>
      <c r="N82" s="5" t="n">
        <v>0.34</v>
      </c>
      <c r="O82" s="5" t="n">
        <f aca="false">J82-N82</f>
        <v>0.0128505392912172</v>
      </c>
    </row>
    <row r="83" customFormat="false" ht="15" hidden="false" customHeight="true" outlineLevel="0" collapsed="false">
      <c r="A83" s="6" t="s">
        <v>69</v>
      </c>
      <c r="B83" s="6" t="s">
        <v>70</v>
      </c>
      <c r="C83" s="6" t="s">
        <v>28</v>
      </c>
      <c r="D83" s="6" t="s">
        <v>42</v>
      </c>
      <c r="E83" s="6" t="n">
        <v>873</v>
      </c>
      <c r="F83" s="6" t="n">
        <v>258</v>
      </c>
      <c r="G83" s="6" t="n">
        <v>183</v>
      </c>
      <c r="H83" s="6" t="n">
        <v>103</v>
      </c>
      <c r="I83" s="6" t="n">
        <v>329</v>
      </c>
      <c r="J83" s="8" t="n">
        <f aca="false">F83/E83</f>
        <v>0.29553264604811</v>
      </c>
      <c r="K83" s="8" t="n">
        <f aca="false">G83/E83</f>
        <v>0.209621993127148</v>
      </c>
      <c r="L83" s="8" t="n">
        <f aca="false">H83/E83</f>
        <v>0.117983963344788</v>
      </c>
      <c r="M83" s="8" t="n">
        <f aca="false">I83/E83</f>
        <v>0.376861397479954</v>
      </c>
      <c r="N83" s="8" t="n">
        <v>0.36</v>
      </c>
      <c r="O83" s="8" t="n">
        <f aca="false">J83-N83</f>
        <v>-0.06446735395189</v>
      </c>
    </row>
    <row r="84" customFormat="false" ht="15" hidden="false" customHeight="true" outlineLevel="0" collapsed="false">
      <c r="A84" s="3" t="s">
        <v>69</v>
      </c>
      <c r="B84" s="3" t="s">
        <v>70</v>
      </c>
      <c r="C84" s="3" t="s">
        <v>29</v>
      </c>
      <c r="D84" s="3" t="s">
        <v>23</v>
      </c>
      <c r="E84" s="3" t="n">
        <v>842</v>
      </c>
      <c r="F84" s="3" t="n">
        <v>277</v>
      </c>
      <c r="G84" s="3" t="n">
        <v>219</v>
      </c>
      <c r="H84" s="3" t="n">
        <v>158</v>
      </c>
      <c r="I84" s="3" t="n">
        <v>188</v>
      </c>
      <c r="J84" s="5" t="n">
        <f aca="false">F84/E84</f>
        <v>0.328978622327791</v>
      </c>
      <c r="K84" s="5" t="n">
        <f aca="false">G84/E84</f>
        <v>0.260095011876485</v>
      </c>
      <c r="L84" s="5" t="n">
        <f aca="false">H84/E84</f>
        <v>0.187648456057007</v>
      </c>
      <c r="M84" s="5" t="n">
        <f aca="false">I84/E84</f>
        <v>0.223277909738717</v>
      </c>
      <c r="N84" s="5" t="n">
        <v>0.34</v>
      </c>
      <c r="O84" s="5" t="n">
        <f aca="false">J84-N84</f>
        <v>-0.0110213776722091</v>
      </c>
    </row>
    <row r="85" customFormat="false" ht="15" hidden="false" customHeight="true" outlineLevel="0" collapsed="false">
      <c r="A85" s="6" t="s">
        <v>69</v>
      </c>
      <c r="B85" s="6" t="s">
        <v>70</v>
      </c>
      <c r="C85" s="6" t="s">
        <v>29</v>
      </c>
      <c r="D85" s="6" t="s">
        <v>42</v>
      </c>
      <c r="E85" s="6" t="n">
        <v>839</v>
      </c>
      <c r="F85" s="6" t="n">
        <v>274</v>
      </c>
      <c r="G85" s="6" t="n">
        <v>214</v>
      </c>
      <c r="H85" s="6" t="n">
        <v>101</v>
      </c>
      <c r="I85" s="6" t="n">
        <v>250</v>
      </c>
      <c r="J85" s="8" t="n">
        <f aca="false">F85/E85</f>
        <v>0.32657926102503</v>
      </c>
      <c r="K85" s="8" t="n">
        <f aca="false">G85/E85</f>
        <v>0.255065554231228</v>
      </c>
      <c r="L85" s="8" t="n">
        <f aca="false">H85/E85</f>
        <v>0.120381406436234</v>
      </c>
      <c r="M85" s="8" t="n">
        <f aca="false">I85/E85</f>
        <v>0.297973778307509</v>
      </c>
      <c r="N85" s="8" t="n">
        <v>0.38</v>
      </c>
      <c r="O85" s="8" t="n">
        <f aca="false">J85-N85</f>
        <v>-0.0534207389749702</v>
      </c>
    </row>
    <row r="86" customFormat="false" ht="15" hidden="false" customHeight="true" outlineLevel="0" collapsed="false">
      <c r="A86" s="3" t="s">
        <v>72</v>
      </c>
      <c r="B86" s="3" t="s">
        <v>73</v>
      </c>
      <c r="C86" s="3" t="s">
        <v>24</v>
      </c>
      <c r="D86" s="3" t="s">
        <v>23</v>
      </c>
      <c r="E86" s="3" t="n">
        <v>464</v>
      </c>
      <c r="F86" s="3" t="n">
        <v>169</v>
      </c>
      <c r="G86" s="3" t="n">
        <v>125</v>
      </c>
      <c r="H86" s="3" t="n">
        <v>71</v>
      </c>
      <c r="I86" s="3" t="n">
        <v>99</v>
      </c>
      <c r="J86" s="5" t="n">
        <f aca="false">F86/E86</f>
        <v>0.364224137931035</v>
      </c>
      <c r="K86" s="5" t="n">
        <f aca="false">G86/E86</f>
        <v>0.269396551724138</v>
      </c>
      <c r="L86" s="5" t="n">
        <f aca="false">H86/E86</f>
        <v>0.15301724137931</v>
      </c>
      <c r="M86" s="5" t="n">
        <f aca="false">I86/E86</f>
        <v>0.213362068965517</v>
      </c>
      <c r="N86" s="5" t="n">
        <v>0.34</v>
      </c>
      <c r="O86" s="5" t="n">
        <f aca="false">J86-N86</f>
        <v>0.0242241379310345</v>
      </c>
    </row>
    <row r="87" customFormat="false" ht="15" hidden="false" customHeight="true" outlineLevel="0" collapsed="false">
      <c r="A87" s="6" t="s">
        <v>72</v>
      </c>
      <c r="B87" s="6" t="s">
        <v>73</v>
      </c>
      <c r="C87" s="6" t="s">
        <v>24</v>
      </c>
      <c r="D87" s="6" t="s">
        <v>42</v>
      </c>
      <c r="E87" s="6" t="n">
        <v>601</v>
      </c>
      <c r="F87" s="6" t="n">
        <v>205</v>
      </c>
      <c r="G87" s="6" t="n">
        <v>113</v>
      </c>
      <c r="H87" s="6" t="n">
        <v>111</v>
      </c>
      <c r="I87" s="6" t="n">
        <v>172</v>
      </c>
      <c r="J87" s="8" t="n">
        <f aca="false">F87/E87</f>
        <v>0.341098169717138</v>
      </c>
      <c r="K87" s="8" t="n">
        <f aca="false">G87/E87</f>
        <v>0.18801996672213</v>
      </c>
      <c r="L87" s="8" t="n">
        <f aca="false">H87/E87</f>
        <v>0.184692179700499</v>
      </c>
      <c r="M87" s="8" t="n">
        <f aca="false">I87/E87</f>
        <v>0.286189683860233</v>
      </c>
      <c r="N87" s="8" t="n">
        <v>0.35</v>
      </c>
      <c r="O87" s="8" t="n">
        <f aca="false">J87-N87</f>
        <v>-0.0089018302828619</v>
      </c>
    </row>
    <row r="88" customFormat="false" ht="15" hidden="false" customHeight="true" outlineLevel="0" collapsed="false">
      <c r="A88" s="3" t="s">
        <v>72</v>
      </c>
      <c r="B88" s="3" t="s">
        <v>73</v>
      </c>
      <c r="C88" s="3" t="s">
        <v>25</v>
      </c>
      <c r="D88" s="3" t="s">
        <v>23</v>
      </c>
      <c r="E88" s="3" t="n">
        <v>720</v>
      </c>
      <c r="F88" s="3" t="n">
        <v>265</v>
      </c>
      <c r="G88" s="3" t="n">
        <v>174</v>
      </c>
      <c r="H88" s="3" t="n">
        <v>114</v>
      </c>
      <c r="I88" s="3" t="n">
        <v>167</v>
      </c>
      <c r="J88" s="5" t="n">
        <f aca="false">F88/E88</f>
        <v>0.368055555555556</v>
      </c>
      <c r="K88" s="5" t="n">
        <f aca="false">G88/E88</f>
        <v>0.241666666666667</v>
      </c>
      <c r="L88" s="5" t="n">
        <f aca="false">H88/E88</f>
        <v>0.158333333333333</v>
      </c>
      <c r="M88" s="5" t="n">
        <f aca="false">I88/E88</f>
        <v>0.231944444444444</v>
      </c>
      <c r="N88" s="5" t="n">
        <v>0.33</v>
      </c>
      <c r="O88" s="5" t="n">
        <f aca="false">J88-N88</f>
        <v>0.0380555555555556</v>
      </c>
    </row>
    <row r="89" customFormat="false" ht="15" hidden="false" customHeight="true" outlineLevel="0" collapsed="false">
      <c r="A89" s="6" t="s">
        <v>72</v>
      </c>
      <c r="B89" s="6" t="s">
        <v>73</v>
      </c>
      <c r="C89" s="6" t="s">
        <v>25</v>
      </c>
      <c r="D89" s="6" t="s">
        <v>42</v>
      </c>
      <c r="E89" s="6" t="n">
        <v>868</v>
      </c>
      <c r="F89" s="6" t="n">
        <v>324</v>
      </c>
      <c r="G89" s="6" t="n">
        <v>236</v>
      </c>
      <c r="H89" s="6" t="n">
        <v>148</v>
      </c>
      <c r="I89" s="6" t="n">
        <v>160</v>
      </c>
      <c r="J89" s="8" t="n">
        <f aca="false">F89/E89</f>
        <v>0.373271889400922</v>
      </c>
      <c r="K89" s="8" t="n">
        <f aca="false">G89/E89</f>
        <v>0.271889400921659</v>
      </c>
      <c r="L89" s="8" t="n">
        <f aca="false">H89/E89</f>
        <v>0.170506912442396</v>
      </c>
      <c r="M89" s="8" t="n">
        <f aca="false">I89/E89</f>
        <v>0.184331797235023</v>
      </c>
      <c r="N89" s="8" t="n">
        <v>0.33</v>
      </c>
      <c r="O89" s="8" t="n">
        <f aca="false">J89-N89</f>
        <v>0.0432718894009216</v>
      </c>
    </row>
    <row r="90" customFormat="false" ht="15" hidden="false" customHeight="true" outlineLevel="0" collapsed="false">
      <c r="A90" s="3" t="s">
        <v>72</v>
      </c>
      <c r="B90" s="3" t="s">
        <v>73</v>
      </c>
      <c r="C90" s="3" t="s">
        <v>26</v>
      </c>
      <c r="D90" s="3" t="s">
        <v>23</v>
      </c>
      <c r="E90" s="3" t="n">
        <v>486</v>
      </c>
      <c r="F90" s="3" t="n">
        <v>186</v>
      </c>
      <c r="G90" s="3" t="n">
        <v>95</v>
      </c>
      <c r="H90" s="3" t="n">
        <v>60</v>
      </c>
      <c r="I90" s="3" t="n">
        <v>145</v>
      </c>
      <c r="J90" s="5" t="n">
        <f aca="false">F90/E90</f>
        <v>0.382716049382716</v>
      </c>
      <c r="K90" s="5" t="n">
        <f aca="false">G90/E90</f>
        <v>0.195473251028807</v>
      </c>
      <c r="L90" s="5" t="n">
        <f aca="false">H90/E90</f>
        <v>0.123456790123457</v>
      </c>
      <c r="M90" s="5" t="n">
        <f aca="false">I90/E90</f>
        <v>0.298353909465021</v>
      </c>
      <c r="N90" s="5" t="n">
        <v>0.31</v>
      </c>
      <c r="O90" s="5" t="n">
        <f aca="false">J90-N90</f>
        <v>0.072716049382716</v>
      </c>
    </row>
    <row r="91" customFormat="false" ht="15" hidden="false" customHeight="true" outlineLevel="0" collapsed="false">
      <c r="A91" s="6" t="s">
        <v>72</v>
      </c>
      <c r="B91" s="6" t="s">
        <v>73</v>
      </c>
      <c r="C91" s="6" t="s">
        <v>26</v>
      </c>
      <c r="D91" s="6" t="s">
        <v>42</v>
      </c>
      <c r="E91" s="6" t="n">
        <v>782</v>
      </c>
      <c r="F91" s="6" t="n">
        <v>303</v>
      </c>
      <c r="G91" s="6" t="n">
        <v>177</v>
      </c>
      <c r="H91" s="6" t="n">
        <v>110</v>
      </c>
      <c r="I91" s="6" t="n">
        <v>192</v>
      </c>
      <c r="J91" s="8" t="n">
        <f aca="false">F91/E91</f>
        <v>0.387468030690537</v>
      </c>
      <c r="K91" s="8" t="n">
        <f aca="false">G91/E91</f>
        <v>0.226342710997442</v>
      </c>
      <c r="L91" s="8" t="n">
        <f aca="false">H91/E91</f>
        <v>0.140664961636829</v>
      </c>
      <c r="M91" s="8" t="n">
        <f aca="false">I91/E91</f>
        <v>0.245524296675192</v>
      </c>
      <c r="N91" s="8" t="n">
        <v>0.31</v>
      </c>
      <c r="O91" s="8" t="n">
        <f aca="false">J91-N91</f>
        <v>0.0774680306905371</v>
      </c>
    </row>
    <row r="92" customFormat="false" ht="15" hidden="false" customHeight="true" outlineLevel="0" collapsed="false">
      <c r="A92" s="3" t="s">
        <v>72</v>
      </c>
      <c r="B92" s="3" t="s">
        <v>73</v>
      </c>
      <c r="C92" s="3" t="s">
        <v>27</v>
      </c>
      <c r="D92" s="3" t="s">
        <v>23</v>
      </c>
      <c r="E92" s="3" t="n">
        <v>792</v>
      </c>
      <c r="F92" s="3" t="n">
        <v>265</v>
      </c>
      <c r="G92" s="3" t="n">
        <v>176</v>
      </c>
      <c r="H92" s="3" t="n">
        <v>121</v>
      </c>
      <c r="I92" s="3" t="n">
        <v>230</v>
      </c>
      <c r="J92" s="5" t="n">
        <f aca="false">F92/E92</f>
        <v>0.33459595959596</v>
      </c>
      <c r="K92" s="5" t="n">
        <f aca="false">G92/E92</f>
        <v>0.222222222222222</v>
      </c>
      <c r="L92" s="5" t="n">
        <f aca="false">H92/E92</f>
        <v>0.152777777777778</v>
      </c>
      <c r="M92" s="5" t="n">
        <f aca="false">I92/E92</f>
        <v>0.29040404040404</v>
      </c>
      <c r="N92" s="5" t="n">
        <v>0.39</v>
      </c>
      <c r="O92" s="5" t="n">
        <f aca="false">J92-N92</f>
        <v>-0.0554040404040404</v>
      </c>
    </row>
    <row r="93" customFormat="false" ht="15" hidden="false" customHeight="true" outlineLevel="0" collapsed="false">
      <c r="A93" s="6" t="s">
        <v>72</v>
      </c>
      <c r="B93" s="6" t="s">
        <v>73</v>
      </c>
      <c r="C93" s="6" t="s">
        <v>27</v>
      </c>
      <c r="D93" s="6" t="s">
        <v>42</v>
      </c>
      <c r="E93" s="6" t="n">
        <v>577</v>
      </c>
      <c r="F93" s="6" t="n">
        <v>208</v>
      </c>
      <c r="G93" s="6" t="n">
        <v>128</v>
      </c>
      <c r="H93" s="6" t="n">
        <v>65</v>
      </c>
      <c r="I93" s="6" t="n">
        <v>176</v>
      </c>
      <c r="J93" s="8" t="n">
        <f aca="false">F93/E93</f>
        <v>0.360485268630849</v>
      </c>
      <c r="K93" s="8" t="n">
        <f aca="false">G93/E93</f>
        <v>0.221837088388215</v>
      </c>
      <c r="L93" s="8" t="n">
        <f aca="false">H93/E93</f>
        <v>0.11265164644714</v>
      </c>
      <c r="M93" s="8" t="n">
        <f aca="false">I93/E93</f>
        <v>0.305025996533796</v>
      </c>
      <c r="N93" s="8" t="n">
        <v>0.33</v>
      </c>
      <c r="O93" s="8" t="n">
        <f aca="false">J93-N93</f>
        <v>0.0304852686308492</v>
      </c>
    </row>
    <row r="94" customFormat="false" ht="15" hidden="false" customHeight="true" outlineLevel="0" collapsed="false">
      <c r="A94" s="3" t="s">
        <v>72</v>
      </c>
      <c r="B94" s="3" t="s">
        <v>73</v>
      </c>
      <c r="C94" s="3" t="s">
        <v>28</v>
      </c>
      <c r="D94" s="3" t="s">
        <v>23</v>
      </c>
      <c r="E94" s="3" t="n">
        <v>861</v>
      </c>
      <c r="F94" s="3" t="n">
        <v>321</v>
      </c>
      <c r="G94" s="3" t="n">
        <v>240</v>
      </c>
      <c r="H94" s="3" t="n">
        <v>168</v>
      </c>
      <c r="I94" s="3" t="n">
        <v>132</v>
      </c>
      <c r="J94" s="5" t="n">
        <f aca="false">F94/E94</f>
        <v>0.372822299651568</v>
      </c>
      <c r="K94" s="5" t="n">
        <f aca="false">G94/E94</f>
        <v>0.278745644599303</v>
      </c>
      <c r="L94" s="5" t="n">
        <f aca="false">H94/E94</f>
        <v>0.195121951219512</v>
      </c>
      <c r="M94" s="5" t="n">
        <f aca="false">I94/E94</f>
        <v>0.153310104529617</v>
      </c>
      <c r="N94" s="5" t="n">
        <v>0.35</v>
      </c>
      <c r="O94" s="5" t="n">
        <f aca="false">J94-N94</f>
        <v>0.022822299651568</v>
      </c>
    </row>
    <row r="95" customFormat="false" ht="15" hidden="false" customHeight="true" outlineLevel="0" collapsed="false">
      <c r="A95" s="6" t="s">
        <v>72</v>
      </c>
      <c r="B95" s="6" t="s">
        <v>73</v>
      </c>
      <c r="C95" s="6" t="s">
        <v>28</v>
      </c>
      <c r="D95" s="6" t="s">
        <v>42</v>
      </c>
      <c r="E95" s="6" t="n">
        <v>599</v>
      </c>
      <c r="F95" s="6" t="n">
        <v>247</v>
      </c>
      <c r="G95" s="6" t="n">
        <v>176</v>
      </c>
      <c r="H95" s="6" t="n">
        <v>90</v>
      </c>
      <c r="I95" s="6" t="n">
        <v>86</v>
      </c>
      <c r="J95" s="8" t="n">
        <f aca="false">F95/E95</f>
        <v>0.412353923205342</v>
      </c>
      <c r="K95" s="8" t="n">
        <f aca="false">G95/E95</f>
        <v>0.293823038397329</v>
      </c>
      <c r="L95" s="8" t="n">
        <f aca="false">H95/E95</f>
        <v>0.15025041736227</v>
      </c>
      <c r="M95" s="8" t="n">
        <f aca="false">I95/E95</f>
        <v>0.143572621035058</v>
      </c>
      <c r="N95" s="8" t="n">
        <v>0.35</v>
      </c>
      <c r="O95" s="8" t="n">
        <f aca="false">J95-N95</f>
        <v>0.0623539232053423</v>
      </c>
    </row>
    <row r="96" customFormat="false" ht="15" hidden="false" customHeight="true" outlineLevel="0" collapsed="false">
      <c r="A96" s="3" t="s">
        <v>72</v>
      </c>
      <c r="B96" s="3" t="s">
        <v>73</v>
      </c>
      <c r="C96" s="3" t="s">
        <v>29</v>
      </c>
      <c r="D96" s="3" t="s">
        <v>23</v>
      </c>
      <c r="E96" s="3" t="n">
        <v>903</v>
      </c>
      <c r="F96" s="3" t="n">
        <v>300</v>
      </c>
      <c r="G96" s="3" t="n">
        <v>249</v>
      </c>
      <c r="H96" s="3" t="n">
        <v>134</v>
      </c>
      <c r="I96" s="3" t="n">
        <v>220</v>
      </c>
      <c r="J96" s="5" t="n">
        <f aca="false">F96/E96</f>
        <v>0.332225913621262</v>
      </c>
      <c r="K96" s="5" t="n">
        <f aca="false">G96/E96</f>
        <v>0.275747508305648</v>
      </c>
      <c r="L96" s="5" t="n">
        <f aca="false">H96/E96</f>
        <v>0.148394241417497</v>
      </c>
      <c r="M96" s="5" t="n">
        <f aca="false">I96/E96</f>
        <v>0.243632336655592</v>
      </c>
      <c r="N96" s="5" t="n">
        <v>0.31</v>
      </c>
      <c r="O96" s="5" t="n">
        <f aca="false">J96-N96</f>
        <v>0.0222259136212625</v>
      </c>
    </row>
    <row r="97" customFormat="false" ht="15" hidden="false" customHeight="true" outlineLevel="0" collapsed="false">
      <c r="A97" s="6" t="s">
        <v>72</v>
      </c>
      <c r="B97" s="6" t="s">
        <v>73</v>
      </c>
      <c r="C97" s="6" t="s">
        <v>29</v>
      </c>
      <c r="D97" s="6" t="s">
        <v>42</v>
      </c>
      <c r="E97" s="6" t="n">
        <v>431</v>
      </c>
      <c r="F97" s="6" t="n">
        <v>176</v>
      </c>
      <c r="G97" s="6" t="n">
        <v>78</v>
      </c>
      <c r="H97" s="6" t="n">
        <v>44</v>
      </c>
      <c r="I97" s="6" t="n">
        <v>133</v>
      </c>
      <c r="J97" s="8" t="n">
        <f aca="false">F97/E97</f>
        <v>0.408352668213457</v>
      </c>
      <c r="K97" s="8" t="n">
        <f aca="false">G97/E97</f>
        <v>0.180974477958237</v>
      </c>
      <c r="L97" s="8" t="n">
        <f aca="false">H97/E97</f>
        <v>0.102088167053364</v>
      </c>
      <c r="M97" s="8" t="n">
        <f aca="false">I97/E97</f>
        <v>0.308584686774942</v>
      </c>
      <c r="N97" s="8" t="n">
        <v>0.32</v>
      </c>
      <c r="O97" s="8" t="n">
        <f aca="false">J97-N97</f>
        <v>0.0883526682134571</v>
      </c>
    </row>
    <row r="98" customFormat="false" ht="15" hidden="false" customHeight="true" outlineLevel="0" collapsed="false">
      <c r="A98" s="3" t="s">
        <v>75</v>
      </c>
      <c r="B98" s="3" t="s">
        <v>76</v>
      </c>
      <c r="C98" s="3" t="s">
        <v>24</v>
      </c>
      <c r="D98" s="3" t="s">
        <v>23</v>
      </c>
      <c r="E98" s="3" t="n">
        <v>695</v>
      </c>
      <c r="F98" s="3" t="n">
        <v>197</v>
      </c>
      <c r="G98" s="3" t="n">
        <v>151</v>
      </c>
      <c r="H98" s="3" t="n">
        <v>121</v>
      </c>
      <c r="I98" s="3" t="n">
        <v>226</v>
      </c>
      <c r="J98" s="5" t="n">
        <f aca="false">F98/E98</f>
        <v>0.283453237410072</v>
      </c>
      <c r="K98" s="5" t="n">
        <f aca="false">G98/E98</f>
        <v>0.21726618705036</v>
      </c>
      <c r="L98" s="5" t="n">
        <f aca="false">H98/E98</f>
        <v>0.17410071942446</v>
      </c>
      <c r="M98" s="5" t="n">
        <f aca="false">I98/E98</f>
        <v>0.325179856115108</v>
      </c>
      <c r="N98" s="5" t="n">
        <v>0.38</v>
      </c>
      <c r="O98" s="5" t="n">
        <f aca="false">J98-N98</f>
        <v>-0.0965467625899281</v>
      </c>
    </row>
    <row r="99" customFormat="false" ht="15" hidden="false" customHeight="true" outlineLevel="0" collapsed="false">
      <c r="A99" s="6" t="s">
        <v>75</v>
      </c>
      <c r="B99" s="6" t="s">
        <v>76</v>
      </c>
      <c r="C99" s="6" t="s">
        <v>24</v>
      </c>
      <c r="D99" s="6" t="s">
        <v>42</v>
      </c>
      <c r="E99" s="6" t="n">
        <v>962</v>
      </c>
      <c r="F99" s="6" t="n">
        <v>338</v>
      </c>
      <c r="G99" s="6" t="n">
        <v>226</v>
      </c>
      <c r="H99" s="6" t="n">
        <v>121</v>
      </c>
      <c r="I99" s="6" t="n">
        <v>277</v>
      </c>
      <c r="J99" s="8" t="n">
        <f aca="false">F99/E99</f>
        <v>0.351351351351351</v>
      </c>
      <c r="K99" s="8" t="n">
        <f aca="false">G99/E99</f>
        <v>0.234927234927235</v>
      </c>
      <c r="L99" s="8" t="n">
        <f aca="false">H99/E99</f>
        <v>0.125779625779626</v>
      </c>
      <c r="M99" s="8" t="n">
        <f aca="false">I99/E99</f>
        <v>0.287941787941788</v>
      </c>
      <c r="N99" s="8" t="n">
        <v>0.35</v>
      </c>
      <c r="O99" s="8" t="n">
        <f aca="false">J99-N99</f>
        <v>0.00135135135135139</v>
      </c>
    </row>
    <row r="100" customFormat="false" ht="15" hidden="false" customHeight="true" outlineLevel="0" collapsed="false">
      <c r="A100" s="3" t="s">
        <v>75</v>
      </c>
      <c r="B100" s="3" t="s">
        <v>76</v>
      </c>
      <c r="C100" s="3" t="s">
        <v>25</v>
      </c>
      <c r="D100" s="3" t="s">
        <v>23</v>
      </c>
      <c r="E100" s="3" t="n">
        <v>775</v>
      </c>
      <c r="F100" s="3" t="n">
        <v>277</v>
      </c>
      <c r="G100" s="3" t="n">
        <v>204</v>
      </c>
      <c r="H100" s="3" t="n">
        <v>136</v>
      </c>
      <c r="I100" s="3" t="n">
        <v>158</v>
      </c>
      <c r="J100" s="5" t="n">
        <f aca="false">F100/E100</f>
        <v>0.35741935483871</v>
      </c>
      <c r="K100" s="5" t="n">
        <f aca="false">G100/E100</f>
        <v>0.263225806451613</v>
      </c>
      <c r="L100" s="5" t="n">
        <f aca="false">H100/E100</f>
        <v>0.175483870967742</v>
      </c>
      <c r="M100" s="5" t="n">
        <f aca="false">I100/E100</f>
        <v>0.203870967741935</v>
      </c>
      <c r="N100" s="5" t="n">
        <v>0.34</v>
      </c>
      <c r="O100" s="5" t="n">
        <f aca="false">J100-N100</f>
        <v>0.0174193548387097</v>
      </c>
    </row>
    <row r="101" customFormat="false" ht="15" hidden="false" customHeight="true" outlineLevel="0" collapsed="false">
      <c r="A101" s="6" t="s">
        <v>75</v>
      </c>
      <c r="B101" s="6" t="s">
        <v>76</v>
      </c>
      <c r="C101" s="6" t="s">
        <v>25</v>
      </c>
      <c r="D101" s="6" t="s">
        <v>42</v>
      </c>
      <c r="E101" s="6" t="n">
        <v>623</v>
      </c>
      <c r="F101" s="6" t="n">
        <v>279</v>
      </c>
      <c r="G101" s="6" t="n">
        <v>103</v>
      </c>
      <c r="H101" s="6" t="n">
        <v>114</v>
      </c>
      <c r="I101" s="6" t="n">
        <v>127</v>
      </c>
      <c r="J101" s="8" t="n">
        <f aca="false">F101/E101</f>
        <v>0.447833065810594</v>
      </c>
      <c r="K101" s="8" t="n">
        <f aca="false">G101/E101</f>
        <v>0.165329052969502</v>
      </c>
      <c r="L101" s="8" t="n">
        <f aca="false">H101/E101</f>
        <v>0.182985553772071</v>
      </c>
      <c r="M101" s="8" t="n">
        <f aca="false">I101/E101</f>
        <v>0.203852327447833</v>
      </c>
      <c r="N101" s="8" t="n">
        <v>0.38</v>
      </c>
      <c r="O101" s="8" t="n">
        <f aca="false">J101-N101</f>
        <v>0.0678330658105939</v>
      </c>
    </row>
    <row r="102" customFormat="false" ht="15" hidden="false" customHeight="true" outlineLevel="0" collapsed="false">
      <c r="A102" s="3" t="s">
        <v>75</v>
      </c>
      <c r="B102" s="3" t="s">
        <v>76</v>
      </c>
      <c r="C102" s="3" t="s">
        <v>26</v>
      </c>
      <c r="D102" s="3" t="s">
        <v>23</v>
      </c>
      <c r="E102" s="3" t="n">
        <v>704</v>
      </c>
      <c r="F102" s="3" t="n">
        <v>299</v>
      </c>
      <c r="G102" s="3" t="n">
        <v>109</v>
      </c>
      <c r="H102" s="3" t="n">
        <v>88</v>
      </c>
      <c r="I102" s="3" t="n">
        <v>208</v>
      </c>
      <c r="J102" s="5" t="n">
        <f aca="false">F102/E102</f>
        <v>0.424715909090909</v>
      </c>
      <c r="K102" s="5" t="n">
        <f aca="false">G102/E102</f>
        <v>0.154829545454545</v>
      </c>
      <c r="L102" s="5" t="n">
        <f aca="false">H102/E102</f>
        <v>0.125</v>
      </c>
      <c r="M102" s="5" t="n">
        <f aca="false">I102/E102</f>
        <v>0.295454545454545</v>
      </c>
      <c r="N102" s="5" t="n">
        <v>0.39</v>
      </c>
      <c r="O102" s="5" t="n">
        <f aca="false">J102-N102</f>
        <v>0.0347159090909091</v>
      </c>
    </row>
    <row r="103" customFormat="false" ht="15" hidden="false" customHeight="true" outlineLevel="0" collapsed="false">
      <c r="A103" s="6" t="s">
        <v>75</v>
      </c>
      <c r="B103" s="6" t="s">
        <v>76</v>
      </c>
      <c r="C103" s="6" t="s">
        <v>26</v>
      </c>
      <c r="D103" s="6" t="s">
        <v>42</v>
      </c>
      <c r="E103" s="6" t="n">
        <v>489</v>
      </c>
      <c r="F103" s="6" t="n">
        <v>165</v>
      </c>
      <c r="G103" s="6" t="n">
        <v>146</v>
      </c>
      <c r="H103" s="6" t="n">
        <v>86</v>
      </c>
      <c r="I103" s="6" t="n">
        <v>92</v>
      </c>
      <c r="J103" s="8" t="n">
        <f aca="false">F103/E103</f>
        <v>0.337423312883436</v>
      </c>
      <c r="K103" s="8" t="n">
        <f aca="false">G103/E103</f>
        <v>0.298568507157464</v>
      </c>
      <c r="L103" s="8" t="n">
        <f aca="false">H103/E103</f>
        <v>0.175869120654397</v>
      </c>
      <c r="M103" s="8" t="n">
        <f aca="false">I103/E103</f>
        <v>0.188139059304703</v>
      </c>
      <c r="N103" s="8" t="n">
        <v>0.32</v>
      </c>
      <c r="O103" s="8" t="n">
        <f aca="false">J103-N103</f>
        <v>0.0174233128834356</v>
      </c>
    </row>
    <row r="104" customFormat="false" ht="15" hidden="false" customHeight="true" outlineLevel="0" collapsed="false">
      <c r="A104" s="3" t="s">
        <v>75</v>
      </c>
      <c r="B104" s="3" t="s">
        <v>76</v>
      </c>
      <c r="C104" s="3" t="s">
        <v>27</v>
      </c>
      <c r="D104" s="3" t="s">
        <v>23</v>
      </c>
      <c r="E104" s="3" t="n">
        <v>759</v>
      </c>
      <c r="F104" s="3" t="n">
        <v>320</v>
      </c>
      <c r="G104" s="3" t="n">
        <v>183</v>
      </c>
      <c r="H104" s="3" t="n">
        <v>108</v>
      </c>
      <c r="I104" s="3" t="n">
        <v>148</v>
      </c>
      <c r="J104" s="5" t="n">
        <f aca="false">F104/E104</f>
        <v>0.421607378129117</v>
      </c>
      <c r="K104" s="5" t="n">
        <f aca="false">G104/E104</f>
        <v>0.241106719367589</v>
      </c>
      <c r="L104" s="5" t="n">
        <f aca="false">H104/E104</f>
        <v>0.142292490118577</v>
      </c>
      <c r="M104" s="5" t="n">
        <f aca="false">I104/E104</f>
        <v>0.194993412384717</v>
      </c>
      <c r="N104" s="5" t="n">
        <v>0.36</v>
      </c>
      <c r="O104" s="5" t="n">
        <f aca="false">J104-N104</f>
        <v>0.0616073781291173</v>
      </c>
    </row>
    <row r="105" customFormat="false" ht="15" hidden="false" customHeight="true" outlineLevel="0" collapsed="false">
      <c r="A105" s="6" t="s">
        <v>75</v>
      </c>
      <c r="B105" s="6" t="s">
        <v>76</v>
      </c>
      <c r="C105" s="6" t="s">
        <v>27</v>
      </c>
      <c r="D105" s="6" t="s">
        <v>42</v>
      </c>
      <c r="E105" s="6" t="n">
        <v>611</v>
      </c>
      <c r="F105" s="6" t="n">
        <v>252</v>
      </c>
      <c r="G105" s="6" t="n">
        <v>165</v>
      </c>
      <c r="H105" s="6" t="n">
        <v>95</v>
      </c>
      <c r="I105" s="6" t="n">
        <v>99</v>
      </c>
      <c r="J105" s="8" t="n">
        <f aca="false">F105/E105</f>
        <v>0.412438625204583</v>
      </c>
      <c r="K105" s="8" t="n">
        <f aca="false">G105/E105</f>
        <v>0.270049099836334</v>
      </c>
      <c r="L105" s="8" t="n">
        <f aca="false">H105/E105</f>
        <v>0.155482815057283</v>
      </c>
      <c r="M105" s="8" t="n">
        <f aca="false">I105/E105</f>
        <v>0.1620294599018</v>
      </c>
      <c r="N105" s="8" t="n">
        <v>0.35</v>
      </c>
      <c r="O105" s="8" t="n">
        <f aca="false">J105-N105</f>
        <v>0.0624386252045827</v>
      </c>
    </row>
    <row r="106" customFormat="false" ht="15" hidden="false" customHeight="true" outlineLevel="0" collapsed="false">
      <c r="A106" s="3" t="s">
        <v>75</v>
      </c>
      <c r="B106" s="3" t="s">
        <v>76</v>
      </c>
      <c r="C106" s="3" t="s">
        <v>28</v>
      </c>
      <c r="D106" s="3" t="s">
        <v>23</v>
      </c>
      <c r="E106" s="3" t="n">
        <v>951</v>
      </c>
      <c r="F106" s="3" t="n">
        <v>269</v>
      </c>
      <c r="G106" s="3" t="n">
        <v>282</v>
      </c>
      <c r="H106" s="3" t="n">
        <v>122</v>
      </c>
      <c r="I106" s="3" t="n">
        <v>278</v>
      </c>
      <c r="J106" s="5" t="n">
        <f aca="false">F106/E106</f>
        <v>0.28286014721346</v>
      </c>
      <c r="K106" s="5" t="n">
        <f aca="false">G106/E106</f>
        <v>0.296529968454259</v>
      </c>
      <c r="L106" s="5" t="n">
        <f aca="false">H106/E106</f>
        <v>0.128286014721346</v>
      </c>
      <c r="M106" s="5" t="n">
        <f aca="false">I106/E106</f>
        <v>0.292323869610936</v>
      </c>
      <c r="N106" s="5" t="n">
        <v>0.36</v>
      </c>
      <c r="O106" s="5" t="n">
        <f aca="false">J106-N106</f>
        <v>-0.0771398527865405</v>
      </c>
    </row>
    <row r="107" customFormat="false" ht="15" hidden="false" customHeight="true" outlineLevel="0" collapsed="false">
      <c r="A107" s="6" t="s">
        <v>75</v>
      </c>
      <c r="B107" s="6" t="s">
        <v>76</v>
      </c>
      <c r="C107" s="6" t="s">
        <v>28</v>
      </c>
      <c r="D107" s="6" t="s">
        <v>42</v>
      </c>
      <c r="E107" s="6" t="n">
        <v>926</v>
      </c>
      <c r="F107" s="6" t="n">
        <v>414</v>
      </c>
      <c r="G107" s="6" t="n">
        <v>233</v>
      </c>
      <c r="H107" s="6" t="n">
        <v>101</v>
      </c>
      <c r="I107" s="6" t="n">
        <v>178</v>
      </c>
      <c r="J107" s="8" t="n">
        <f aca="false">F107/E107</f>
        <v>0.447084233261339</v>
      </c>
      <c r="K107" s="8" t="n">
        <f aca="false">G107/E107</f>
        <v>0.251619870410367</v>
      </c>
      <c r="L107" s="8" t="n">
        <f aca="false">H107/E107</f>
        <v>0.109071274298056</v>
      </c>
      <c r="M107" s="8" t="n">
        <f aca="false">I107/E107</f>
        <v>0.192224622030238</v>
      </c>
      <c r="N107" s="8" t="n">
        <v>0.4</v>
      </c>
      <c r="O107" s="8" t="n">
        <f aca="false">J107-N107</f>
        <v>0.0470842332613391</v>
      </c>
    </row>
    <row r="108" customFormat="false" ht="15" hidden="false" customHeight="true" outlineLevel="0" collapsed="false">
      <c r="A108" s="3" t="s">
        <v>75</v>
      </c>
      <c r="B108" s="3" t="s">
        <v>76</v>
      </c>
      <c r="C108" s="3" t="s">
        <v>29</v>
      </c>
      <c r="D108" s="3" t="s">
        <v>23</v>
      </c>
      <c r="E108" s="3" t="n">
        <v>821</v>
      </c>
      <c r="F108" s="3" t="n">
        <v>356</v>
      </c>
      <c r="G108" s="3" t="n">
        <v>245</v>
      </c>
      <c r="H108" s="3" t="n">
        <v>153</v>
      </c>
      <c r="I108" s="3" t="n">
        <v>67</v>
      </c>
      <c r="J108" s="5" t="n">
        <f aca="false">F108/E108</f>
        <v>0.433617539585871</v>
      </c>
      <c r="K108" s="5" t="n">
        <f aca="false">G108/E108</f>
        <v>0.298416565164434</v>
      </c>
      <c r="L108" s="5" t="n">
        <f aca="false">H108/E108</f>
        <v>0.186358099878197</v>
      </c>
      <c r="M108" s="5" t="n">
        <f aca="false">I108/E108</f>
        <v>0.0816077953714982</v>
      </c>
      <c r="N108" s="5" t="n">
        <v>0.31</v>
      </c>
      <c r="O108" s="5" t="n">
        <f aca="false">J108-N108</f>
        <v>0.123617539585871</v>
      </c>
    </row>
    <row r="109" customFormat="false" ht="15" hidden="false" customHeight="true" outlineLevel="0" collapsed="false">
      <c r="A109" s="6" t="s">
        <v>75</v>
      </c>
      <c r="B109" s="6" t="s">
        <v>76</v>
      </c>
      <c r="C109" s="6" t="s">
        <v>29</v>
      </c>
      <c r="D109" s="6" t="s">
        <v>42</v>
      </c>
      <c r="E109" s="6" t="n">
        <v>535</v>
      </c>
      <c r="F109" s="6" t="n">
        <v>160</v>
      </c>
      <c r="G109" s="6" t="n">
        <v>137</v>
      </c>
      <c r="H109" s="6" t="n">
        <v>97</v>
      </c>
      <c r="I109" s="6" t="n">
        <v>141</v>
      </c>
      <c r="J109" s="8" t="n">
        <f aca="false">F109/E109</f>
        <v>0.299065420560748</v>
      </c>
      <c r="K109" s="8" t="n">
        <f aca="false">G109/E109</f>
        <v>0.25607476635514</v>
      </c>
      <c r="L109" s="8" t="n">
        <f aca="false">H109/E109</f>
        <v>0.181308411214953</v>
      </c>
      <c r="M109" s="8" t="n">
        <f aca="false">I109/E109</f>
        <v>0.263551401869159</v>
      </c>
      <c r="N109" s="8" t="n">
        <v>0.38</v>
      </c>
      <c r="O109" s="8" t="n">
        <f aca="false">J109-N109</f>
        <v>-0.0809345794392524</v>
      </c>
    </row>
    <row r="110" customFormat="false" ht="15" hidden="false" customHeight="true" outlineLevel="0" collapsed="false">
      <c r="A110" s="3" t="s">
        <v>78</v>
      </c>
      <c r="B110" s="3" t="s">
        <v>79</v>
      </c>
      <c r="C110" s="3" t="s">
        <v>24</v>
      </c>
      <c r="D110" s="3" t="s">
        <v>23</v>
      </c>
      <c r="E110" s="3" t="n">
        <v>802</v>
      </c>
      <c r="F110" s="3" t="n">
        <v>279</v>
      </c>
      <c r="G110" s="3" t="n">
        <v>189</v>
      </c>
      <c r="H110" s="3" t="n">
        <v>101</v>
      </c>
      <c r="I110" s="3" t="n">
        <v>233</v>
      </c>
      <c r="J110" s="5" t="n">
        <f aca="false">F110/E110</f>
        <v>0.34788029925187</v>
      </c>
      <c r="K110" s="5" t="n">
        <f aca="false">G110/E110</f>
        <v>0.235660847880299</v>
      </c>
      <c r="L110" s="5" t="n">
        <f aca="false">H110/E110</f>
        <v>0.125935162094763</v>
      </c>
      <c r="M110" s="5" t="n">
        <f aca="false">I110/E110</f>
        <v>0.290523690773067</v>
      </c>
      <c r="N110" s="5" t="n">
        <v>0.34</v>
      </c>
      <c r="O110" s="5" t="n">
        <f aca="false">J110-N110</f>
        <v>0.00788029925187028</v>
      </c>
    </row>
    <row r="111" customFormat="false" ht="15" hidden="false" customHeight="true" outlineLevel="0" collapsed="false">
      <c r="A111" s="6" t="s">
        <v>78</v>
      </c>
      <c r="B111" s="6" t="s">
        <v>79</v>
      </c>
      <c r="C111" s="6" t="s">
        <v>24</v>
      </c>
      <c r="D111" s="6" t="s">
        <v>42</v>
      </c>
      <c r="E111" s="6" t="n">
        <v>862</v>
      </c>
      <c r="F111" s="6" t="n">
        <v>228</v>
      </c>
      <c r="G111" s="6" t="n">
        <v>232</v>
      </c>
      <c r="H111" s="6" t="n">
        <v>152</v>
      </c>
      <c r="I111" s="6" t="n">
        <v>250</v>
      </c>
      <c r="J111" s="8" t="n">
        <f aca="false">F111/E111</f>
        <v>0.264501160092807</v>
      </c>
      <c r="K111" s="8" t="n">
        <f aca="false">G111/E111</f>
        <v>0.269141531322506</v>
      </c>
      <c r="L111" s="8" t="n">
        <f aca="false">H111/E111</f>
        <v>0.176334106728538</v>
      </c>
      <c r="M111" s="8" t="n">
        <f aca="false">I111/E111</f>
        <v>0.290023201856149</v>
      </c>
      <c r="N111" s="8" t="n">
        <v>0.34</v>
      </c>
      <c r="O111" s="8" t="n">
        <f aca="false">J111-N111</f>
        <v>-0.0754988399071926</v>
      </c>
    </row>
    <row r="112" customFormat="false" ht="15" hidden="false" customHeight="true" outlineLevel="0" collapsed="false">
      <c r="A112" s="3" t="s">
        <v>78</v>
      </c>
      <c r="B112" s="3" t="s">
        <v>79</v>
      </c>
      <c r="C112" s="3" t="s">
        <v>25</v>
      </c>
      <c r="D112" s="3" t="s">
        <v>23</v>
      </c>
      <c r="E112" s="3" t="n">
        <v>684</v>
      </c>
      <c r="F112" s="3" t="n">
        <v>266</v>
      </c>
      <c r="G112" s="3" t="n">
        <v>192</v>
      </c>
      <c r="H112" s="3" t="n">
        <v>99</v>
      </c>
      <c r="I112" s="3" t="n">
        <v>127</v>
      </c>
      <c r="J112" s="5" t="n">
        <f aca="false">F112/E112</f>
        <v>0.388888888888889</v>
      </c>
      <c r="K112" s="5" t="n">
        <f aca="false">G112/E112</f>
        <v>0.280701754385965</v>
      </c>
      <c r="L112" s="5" t="n">
        <f aca="false">H112/E112</f>
        <v>0.144736842105263</v>
      </c>
      <c r="M112" s="5" t="n">
        <f aca="false">I112/E112</f>
        <v>0.185672514619883</v>
      </c>
      <c r="N112" s="5" t="n">
        <v>0.35</v>
      </c>
      <c r="O112" s="5" t="n">
        <f aca="false">J112-N112</f>
        <v>0.0388888888888889</v>
      </c>
    </row>
    <row r="113" customFormat="false" ht="15" hidden="false" customHeight="true" outlineLevel="0" collapsed="false">
      <c r="A113" s="6" t="s">
        <v>78</v>
      </c>
      <c r="B113" s="6" t="s">
        <v>79</v>
      </c>
      <c r="C113" s="6" t="s">
        <v>25</v>
      </c>
      <c r="D113" s="6" t="s">
        <v>42</v>
      </c>
      <c r="E113" s="6" t="n">
        <v>995</v>
      </c>
      <c r="F113" s="6" t="n">
        <v>249</v>
      </c>
      <c r="G113" s="6" t="n">
        <v>264</v>
      </c>
      <c r="H113" s="6" t="n">
        <v>172</v>
      </c>
      <c r="I113" s="6" t="n">
        <v>310</v>
      </c>
      <c r="J113" s="8" t="n">
        <f aca="false">F113/E113</f>
        <v>0.250251256281407</v>
      </c>
      <c r="K113" s="8" t="n">
        <f aca="false">G113/E113</f>
        <v>0.265326633165829</v>
      </c>
      <c r="L113" s="8" t="n">
        <f aca="false">H113/E113</f>
        <v>0.17286432160804</v>
      </c>
      <c r="M113" s="8" t="n">
        <f aca="false">I113/E113</f>
        <v>0.311557788944724</v>
      </c>
      <c r="N113" s="8" t="n">
        <v>0.37</v>
      </c>
      <c r="O113" s="8" t="n">
        <f aca="false">J113-N113</f>
        <v>-0.119748743718593</v>
      </c>
    </row>
    <row r="114" customFormat="false" ht="15" hidden="false" customHeight="true" outlineLevel="0" collapsed="false">
      <c r="A114" s="3" t="s">
        <v>78</v>
      </c>
      <c r="B114" s="3" t="s">
        <v>79</v>
      </c>
      <c r="C114" s="3" t="s">
        <v>26</v>
      </c>
      <c r="D114" s="3" t="s">
        <v>23</v>
      </c>
      <c r="E114" s="3" t="n">
        <v>869</v>
      </c>
      <c r="F114" s="3" t="n">
        <v>327</v>
      </c>
      <c r="G114" s="3" t="n">
        <v>221</v>
      </c>
      <c r="H114" s="3" t="n">
        <v>160</v>
      </c>
      <c r="I114" s="3" t="n">
        <v>161</v>
      </c>
      <c r="J114" s="5" t="n">
        <f aca="false">F114/E114</f>
        <v>0.376294591484465</v>
      </c>
      <c r="K114" s="5" t="n">
        <f aca="false">G114/E114</f>
        <v>0.254315304948216</v>
      </c>
      <c r="L114" s="5" t="n">
        <f aca="false">H114/E114</f>
        <v>0.184119677790564</v>
      </c>
      <c r="M114" s="5" t="n">
        <f aca="false">I114/E114</f>
        <v>0.185270425776755</v>
      </c>
      <c r="N114" s="5" t="n">
        <v>0.38</v>
      </c>
      <c r="O114" s="5" t="n">
        <f aca="false">J114-N114</f>
        <v>-0.00370540851553508</v>
      </c>
    </row>
    <row r="115" customFormat="false" ht="15" hidden="false" customHeight="true" outlineLevel="0" collapsed="false">
      <c r="A115" s="6" t="s">
        <v>78</v>
      </c>
      <c r="B115" s="6" t="s">
        <v>79</v>
      </c>
      <c r="C115" s="6" t="s">
        <v>26</v>
      </c>
      <c r="D115" s="6" t="s">
        <v>42</v>
      </c>
      <c r="E115" s="6" t="n">
        <v>807</v>
      </c>
      <c r="F115" s="6" t="n">
        <v>236</v>
      </c>
      <c r="G115" s="6" t="n">
        <v>173</v>
      </c>
      <c r="H115" s="6" t="n">
        <v>97</v>
      </c>
      <c r="I115" s="6" t="n">
        <v>301</v>
      </c>
      <c r="J115" s="8" t="n">
        <f aca="false">F115/E115</f>
        <v>0.292441140024783</v>
      </c>
      <c r="K115" s="8" t="n">
        <f aca="false">G115/E115</f>
        <v>0.214374225526642</v>
      </c>
      <c r="L115" s="8" t="n">
        <f aca="false">H115/E115</f>
        <v>0.120198265179678</v>
      </c>
      <c r="M115" s="8" t="n">
        <f aca="false">I115/E115</f>
        <v>0.372986369268897</v>
      </c>
      <c r="N115" s="8" t="n">
        <v>0.33</v>
      </c>
      <c r="O115" s="8" t="n">
        <f aca="false">J115-N115</f>
        <v>-0.0375588599752169</v>
      </c>
    </row>
    <row r="116" customFormat="false" ht="15" hidden="false" customHeight="true" outlineLevel="0" collapsed="false">
      <c r="A116" s="3" t="s">
        <v>78</v>
      </c>
      <c r="B116" s="3" t="s">
        <v>79</v>
      </c>
      <c r="C116" s="3" t="s">
        <v>27</v>
      </c>
      <c r="D116" s="3" t="s">
        <v>23</v>
      </c>
      <c r="E116" s="3" t="n">
        <v>690</v>
      </c>
      <c r="F116" s="3" t="n">
        <v>219</v>
      </c>
      <c r="G116" s="3" t="n">
        <v>163</v>
      </c>
      <c r="H116" s="3" t="n">
        <v>108</v>
      </c>
      <c r="I116" s="3" t="n">
        <v>200</v>
      </c>
      <c r="J116" s="5" t="n">
        <f aca="false">F116/E116</f>
        <v>0.317391304347826</v>
      </c>
      <c r="K116" s="5" t="n">
        <f aca="false">G116/E116</f>
        <v>0.236231884057971</v>
      </c>
      <c r="L116" s="5" t="n">
        <f aca="false">H116/E116</f>
        <v>0.156521739130435</v>
      </c>
      <c r="M116" s="5" t="n">
        <f aca="false">I116/E116</f>
        <v>0.289855072463768</v>
      </c>
      <c r="N116" s="5" t="n">
        <v>0.35</v>
      </c>
      <c r="O116" s="5" t="n">
        <f aca="false">J116-N116</f>
        <v>-0.0326086956521739</v>
      </c>
    </row>
    <row r="117" customFormat="false" ht="15" hidden="false" customHeight="true" outlineLevel="0" collapsed="false">
      <c r="A117" s="6" t="s">
        <v>78</v>
      </c>
      <c r="B117" s="6" t="s">
        <v>79</v>
      </c>
      <c r="C117" s="6" t="s">
        <v>27</v>
      </c>
      <c r="D117" s="6" t="s">
        <v>42</v>
      </c>
      <c r="E117" s="6" t="n">
        <v>751</v>
      </c>
      <c r="F117" s="6" t="n">
        <v>322</v>
      </c>
      <c r="G117" s="6" t="n">
        <v>198</v>
      </c>
      <c r="H117" s="6" t="n">
        <v>78</v>
      </c>
      <c r="I117" s="6" t="n">
        <v>153</v>
      </c>
      <c r="J117" s="8" t="n">
        <f aca="false">F117/E117</f>
        <v>0.428761651131824</v>
      </c>
      <c r="K117" s="8" t="n">
        <f aca="false">G117/E117</f>
        <v>0.263648468708389</v>
      </c>
      <c r="L117" s="8" t="n">
        <f aca="false">H117/E117</f>
        <v>0.103861517976032</v>
      </c>
      <c r="M117" s="8" t="n">
        <f aca="false">I117/E117</f>
        <v>0.203728362183755</v>
      </c>
      <c r="N117" s="8" t="n">
        <v>0.36</v>
      </c>
      <c r="O117" s="8" t="n">
        <f aca="false">J117-N117</f>
        <v>0.0687616511318243</v>
      </c>
    </row>
    <row r="118" customFormat="false" ht="15" hidden="false" customHeight="true" outlineLevel="0" collapsed="false">
      <c r="A118" s="3" t="s">
        <v>78</v>
      </c>
      <c r="B118" s="3" t="s">
        <v>79</v>
      </c>
      <c r="C118" s="3" t="s">
        <v>28</v>
      </c>
      <c r="D118" s="3" t="s">
        <v>23</v>
      </c>
      <c r="E118" s="3" t="n">
        <v>870</v>
      </c>
      <c r="F118" s="3" t="n">
        <v>220</v>
      </c>
      <c r="G118" s="3" t="n">
        <v>251</v>
      </c>
      <c r="H118" s="3" t="n">
        <v>100</v>
      </c>
      <c r="I118" s="3" t="n">
        <v>299</v>
      </c>
      <c r="J118" s="5" t="n">
        <f aca="false">F118/E118</f>
        <v>0.252873563218391</v>
      </c>
      <c r="K118" s="5" t="n">
        <f aca="false">G118/E118</f>
        <v>0.288505747126437</v>
      </c>
      <c r="L118" s="5" t="n">
        <f aca="false">H118/E118</f>
        <v>0.114942528735632</v>
      </c>
      <c r="M118" s="5" t="n">
        <f aca="false">I118/E118</f>
        <v>0.34367816091954</v>
      </c>
      <c r="N118" s="5" t="n">
        <v>0.35</v>
      </c>
      <c r="O118" s="5" t="n">
        <f aca="false">J118-N118</f>
        <v>-0.0971264367816092</v>
      </c>
    </row>
    <row r="119" customFormat="false" ht="15" hidden="false" customHeight="true" outlineLevel="0" collapsed="false">
      <c r="A119" s="6" t="s">
        <v>78</v>
      </c>
      <c r="B119" s="6" t="s">
        <v>79</v>
      </c>
      <c r="C119" s="6" t="s">
        <v>28</v>
      </c>
      <c r="D119" s="6" t="s">
        <v>42</v>
      </c>
      <c r="E119" s="6" t="n">
        <v>838</v>
      </c>
      <c r="F119" s="6" t="n">
        <v>243</v>
      </c>
      <c r="G119" s="6" t="n">
        <v>212</v>
      </c>
      <c r="H119" s="6" t="n">
        <v>94</v>
      </c>
      <c r="I119" s="6" t="n">
        <v>289</v>
      </c>
      <c r="J119" s="8" t="n">
        <f aca="false">F119/E119</f>
        <v>0.289976133651551</v>
      </c>
      <c r="K119" s="8" t="n">
        <f aca="false">G119/E119</f>
        <v>0.252983293556086</v>
      </c>
      <c r="L119" s="8" t="n">
        <f aca="false">H119/E119</f>
        <v>0.112171837708831</v>
      </c>
      <c r="M119" s="8" t="n">
        <f aca="false">I119/E119</f>
        <v>0.344868735083532</v>
      </c>
      <c r="N119" s="8" t="n">
        <v>0.36</v>
      </c>
      <c r="O119" s="8" t="n">
        <f aca="false">J119-N119</f>
        <v>-0.0700238663484487</v>
      </c>
    </row>
    <row r="120" customFormat="false" ht="15" hidden="false" customHeight="true" outlineLevel="0" collapsed="false">
      <c r="A120" s="3" t="s">
        <v>78</v>
      </c>
      <c r="B120" s="3" t="s">
        <v>79</v>
      </c>
      <c r="C120" s="3" t="s">
        <v>29</v>
      </c>
      <c r="D120" s="3" t="s">
        <v>23</v>
      </c>
      <c r="E120" s="3" t="n">
        <v>562</v>
      </c>
      <c r="F120" s="3" t="n">
        <v>238</v>
      </c>
      <c r="G120" s="3" t="n">
        <v>158</v>
      </c>
      <c r="H120" s="3" t="n">
        <v>61</v>
      </c>
      <c r="I120" s="3" t="n">
        <v>105</v>
      </c>
      <c r="J120" s="5" t="n">
        <f aca="false">F120/E120</f>
        <v>0.423487544483986</v>
      </c>
      <c r="K120" s="5" t="n">
        <f aca="false">G120/E120</f>
        <v>0.281138790035587</v>
      </c>
      <c r="L120" s="5" t="n">
        <f aca="false">H120/E120</f>
        <v>0.108540925266904</v>
      </c>
      <c r="M120" s="5" t="n">
        <f aca="false">I120/E120</f>
        <v>0.186832740213523</v>
      </c>
      <c r="N120" s="5" t="n">
        <v>0.34</v>
      </c>
      <c r="O120" s="5" t="n">
        <f aca="false">J120-N120</f>
        <v>0.0834875444839858</v>
      </c>
    </row>
    <row r="121" customFormat="false" ht="15" hidden="false" customHeight="true" outlineLevel="0" collapsed="false">
      <c r="A121" s="6" t="s">
        <v>78</v>
      </c>
      <c r="B121" s="6" t="s">
        <v>79</v>
      </c>
      <c r="C121" s="6" t="s">
        <v>29</v>
      </c>
      <c r="D121" s="6" t="s">
        <v>42</v>
      </c>
      <c r="E121" s="6" t="n">
        <v>484</v>
      </c>
      <c r="F121" s="6" t="n">
        <v>156</v>
      </c>
      <c r="G121" s="6" t="n">
        <v>138</v>
      </c>
      <c r="H121" s="6" t="n">
        <v>56</v>
      </c>
      <c r="I121" s="6" t="n">
        <v>134</v>
      </c>
      <c r="J121" s="8" t="n">
        <f aca="false">F121/E121</f>
        <v>0.322314049586777</v>
      </c>
      <c r="K121" s="8" t="n">
        <f aca="false">G121/E121</f>
        <v>0.285123966942149</v>
      </c>
      <c r="L121" s="8" t="n">
        <f aca="false">H121/E121</f>
        <v>0.115702479338843</v>
      </c>
      <c r="M121" s="8" t="n">
        <f aca="false">I121/E121</f>
        <v>0.276859504132231</v>
      </c>
      <c r="N121" s="8" t="n">
        <v>0.34</v>
      </c>
      <c r="O121" s="8" t="n">
        <f aca="false">J121-N121</f>
        <v>-0.0176859504132232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12" min="3" style="1" width="18"/>
  </cols>
  <sheetData>
    <row r="1" customFormat="false" ht="45" hidden="false" customHeight="true" outlineLevel="0" collapsed="false">
      <c r="A1" s="9" t="s">
        <v>118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customFormat="false" ht="15" hidden="false" customHeight="true" outlineLevel="0" collapsed="false">
      <c r="A3" s="10" t="s">
        <v>119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customFormat="false" ht="19.5" hidden="false" customHeight="true" outlineLevel="0" collapsed="false">
      <c r="A4" s="11" t="s">
        <v>120</v>
      </c>
      <c r="B4" s="11" t="s">
        <v>121</v>
      </c>
      <c r="C4" s="11" t="s">
        <v>122</v>
      </c>
      <c r="D4" s="11"/>
      <c r="E4" s="11"/>
      <c r="F4" s="11"/>
      <c r="G4" s="11"/>
      <c r="H4" s="11"/>
      <c r="I4" s="11"/>
      <c r="J4" s="11"/>
      <c r="K4" s="11"/>
      <c r="L4" s="11"/>
    </row>
    <row r="5" customFormat="false" ht="27.75" hidden="false" customHeight="true" outlineLevel="0" collapsed="false">
      <c r="A5" s="6" t="s">
        <v>123</v>
      </c>
      <c r="B5" s="6" t="s">
        <v>124</v>
      </c>
      <c r="C5" s="12" t="s">
        <v>125</v>
      </c>
      <c r="D5" s="12"/>
      <c r="E5" s="12"/>
      <c r="F5" s="12"/>
      <c r="G5" s="12"/>
      <c r="H5" s="12"/>
      <c r="I5" s="12"/>
      <c r="J5" s="12"/>
      <c r="K5" s="12"/>
      <c r="L5" s="12"/>
    </row>
    <row r="6" customFormat="false" ht="27.75" hidden="false" customHeight="true" outlineLevel="0" collapsed="false">
      <c r="A6" s="3" t="s">
        <v>126</v>
      </c>
      <c r="B6" s="3" t="s">
        <v>127</v>
      </c>
      <c r="C6" s="13" t="s">
        <v>128</v>
      </c>
      <c r="D6" s="13"/>
      <c r="E6" s="13"/>
      <c r="F6" s="13"/>
      <c r="G6" s="13"/>
      <c r="H6" s="13"/>
      <c r="I6" s="13"/>
      <c r="J6" s="13"/>
      <c r="K6" s="13"/>
      <c r="L6" s="13"/>
    </row>
    <row r="7" customFormat="false" ht="27.75" hidden="false" customHeight="true" outlineLevel="0" collapsed="false">
      <c r="A7" s="6" t="s">
        <v>129</v>
      </c>
      <c r="B7" s="6" t="s">
        <v>130</v>
      </c>
      <c r="C7" s="12" t="s">
        <v>131</v>
      </c>
      <c r="D7" s="12"/>
      <c r="E7" s="12"/>
      <c r="F7" s="12"/>
      <c r="G7" s="12"/>
      <c r="H7" s="12"/>
      <c r="I7" s="12"/>
      <c r="J7" s="12"/>
      <c r="K7" s="12"/>
      <c r="L7" s="12"/>
    </row>
    <row r="8" customFormat="false" ht="27.75" hidden="false" customHeight="true" outlineLevel="0" collapsed="false">
      <c r="A8" s="3" t="s">
        <v>132</v>
      </c>
      <c r="B8" s="3" t="s">
        <v>133</v>
      </c>
      <c r="C8" s="13" t="s">
        <v>134</v>
      </c>
      <c r="D8" s="13"/>
      <c r="E8" s="13"/>
      <c r="F8" s="13"/>
      <c r="G8" s="13"/>
      <c r="H8" s="13"/>
      <c r="I8" s="13"/>
      <c r="J8" s="13"/>
      <c r="K8" s="13"/>
      <c r="L8" s="13"/>
    </row>
    <row r="9" customFormat="false" ht="27.75" hidden="false" customHeight="true" outlineLevel="0" collapsed="false">
      <c r="A9" s="6" t="s">
        <v>135</v>
      </c>
      <c r="B9" s="6" t="s">
        <v>136</v>
      </c>
      <c r="C9" s="12" t="s">
        <v>137</v>
      </c>
      <c r="D9" s="12"/>
      <c r="E9" s="12"/>
      <c r="F9" s="12"/>
      <c r="G9" s="12"/>
      <c r="H9" s="12"/>
      <c r="I9" s="12"/>
      <c r="J9" s="12"/>
      <c r="K9" s="12"/>
      <c r="L9" s="12"/>
    </row>
    <row r="10" customFormat="false" ht="27.75" hidden="false" customHeight="true" outlineLevel="0" collapsed="false">
      <c r="A10" s="3" t="s">
        <v>138</v>
      </c>
      <c r="B10" s="3" t="s">
        <v>139</v>
      </c>
      <c r="C10" s="13" t="s">
        <v>140</v>
      </c>
      <c r="D10" s="13"/>
      <c r="E10" s="13"/>
      <c r="F10" s="13"/>
      <c r="G10" s="13"/>
      <c r="H10" s="13"/>
      <c r="I10" s="13"/>
      <c r="J10" s="13"/>
      <c r="K10" s="13"/>
      <c r="L10" s="13"/>
    </row>
    <row r="11" customFormat="false" ht="27.75" hidden="false" customHeight="true" outlineLevel="0" collapsed="false">
      <c r="A11" s="6" t="s">
        <v>141</v>
      </c>
      <c r="B11" s="6" t="s">
        <v>142</v>
      </c>
      <c r="C11" s="12" t="s">
        <v>143</v>
      </c>
      <c r="D11" s="12"/>
      <c r="E11" s="12"/>
      <c r="F11" s="12"/>
      <c r="G11" s="12"/>
      <c r="H11" s="12"/>
      <c r="I11" s="12"/>
      <c r="J11" s="12"/>
      <c r="K11" s="12"/>
      <c r="L11" s="12"/>
    </row>
    <row r="12" customFormat="false" ht="27.75" hidden="false" customHeight="true" outlineLevel="0" collapsed="false">
      <c r="A12" s="3" t="s">
        <v>144</v>
      </c>
      <c r="B12" s="3" t="s">
        <v>145</v>
      </c>
      <c r="C12" s="13" t="s">
        <v>146</v>
      </c>
      <c r="D12" s="13"/>
      <c r="E12" s="13"/>
      <c r="F12" s="13"/>
      <c r="G12" s="13"/>
      <c r="H12" s="13"/>
      <c r="I12" s="13"/>
      <c r="J12" s="13"/>
      <c r="K12" s="13"/>
      <c r="L12" s="13"/>
    </row>
    <row r="13" customFormat="false" ht="27.75" hidden="false" customHeight="true" outlineLevel="0" collapsed="false">
      <c r="A13" s="6" t="s">
        <v>147</v>
      </c>
      <c r="B13" s="6" t="s">
        <v>148</v>
      </c>
      <c r="C13" s="12" t="s">
        <v>149</v>
      </c>
      <c r="D13" s="12"/>
      <c r="E13" s="12"/>
      <c r="F13" s="12"/>
      <c r="G13" s="12"/>
      <c r="H13" s="12"/>
      <c r="I13" s="12"/>
      <c r="J13" s="12"/>
      <c r="K13" s="12"/>
      <c r="L13" s="12"/>
    </row>
    <row r="14" customFormat="false" ht="27.75" hidden="false" customHeight="true" outlineLevel="0" collapsed="false">
      <c r="A14" s="3" t="s">
        <v>150</v>
      </c>
      <c r="B14" s="3" t="s">
        <v>151</v>
      </c>
      <c r="C14" s="13" t="s">
        <v>152</v>
      </c>
      <c r="D14" s="13"/>
      <c r="E14" s="13"/>
      <c r="F14" s="13"/>
      <c r="G14" s="13"/>
      <c r="H14" s="13"/>
      <c r="I14" s="13"/>
      <c r="J14" s="13"/>
      <c r="K14" s="13"/>
      <c r="L14" s="13"/>
    </row>
    <row r="17" customFormat="false" ht="15" hidden="false" customHeight="true" outlineLevel="0" collapsed="false">
      <c r="A17" s="10" t="s">
        <v>153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customFormat="false" ht="15" hidden="false" customHeight="true" outlineLevel="0" collapsed="false">
      <c r="A18" s="11" t="s">
        <v>154</v>
      </c>
      <c r="B18" s="11" t="s">
        <v>155</v>
      </c>
      <c r="C18" s="11" t="s">
        <v>156</v>
      </c>
      <c r="D18" s="11"/>
      <c r="E18" s="11"/>
      <c r="F18" s="11"/>
      <c r="G18" s="11"/>
      <c r="H18" s="11"/>
      <c r="I18" s="11"/>
      <c r="J18" s="11"/>
      <c r="K18" s="11"/>
      <c r="L18" s="11"/>
    </row>
    <row r="19" customFormat="false" ht="24" hidden="false" customHeight="true" outlineLevel="0" collapsed="false">
      <c r="A19" s="14" t="s">
        <v>157</v>
      </c>
      <c r="B19" s="6" t="s">
        <v>158</v>
      </c>
      <c r="C19" s="15" t="s">
        <v>159</v>
      </c>
      <c r="D19" s="15"/>
      <c r="E19" s="15"/>
      <c r="F19" s="15"/>
      <c r="G19" s="15"/>
      <c r="H19" s="15"/>
      <c r="I19" s="15"/>
      <c r="J19" s="15"/>
      <c r="K19" s="15"/>
      <c r="L19" s="15"/>
    </row>
    <row r="20" customFormat="false" ht="24" hidden="false" customHeight="true" outlineLevel="0" collapsed="false">
      <c r="A20" s="16" t="s">
        <v>160</v>
      </c>
      <c r="B20" s="3" t="s">
        <v>161</v>
      </c>
      <c r="C20" s="17" t="s">
        <v>162</v>
      </c>
      <c r="D20" s="17"/>
      <c r="E20" s="17"/>
      <c r="F20" s="17"/>
      <c r="G20" s="17"/>
      <c r="H20" s="17"/>
      <c r="I20" s="17"/>
      <c r="J20" s="17"/>
      <c r="K20" s="17"/>
      <c r="L20" s="17"/>
    </row>
    <row r="21" customFormat="false" ht="24" hidden="false" customHeight="true" outlineLevel="0" collapsed="false">
      <c r="A21" s="14" t="s">
        <v>163</v>
      </c>
      <c r="B21" s="6" t="s">
        <v>164</v>
      </c>
      <c r="C21" s="15" t="s">
        <v>165</v>
      </c>
      <c r="D21" s="15"/>
      <c r="E21" s="15"/>
      <c r="F21" s="15"/>
      <c r="G21" s="15"/>
      <c r="H21" s="15"/>
      <c r="I21" s="15"/>
      <c r="J21" s="15"/>
      <c r="K21" s="15"/>
      <c r="L21" s="15"/>
    </row>
    <row r="22" customFormat="false" ht="24" hidden="false" customHeight="true" outlineLevel="0" collapsed="false">
      <c r="A22" s="16" t="s">
        <v>166</v>
      </c>
      <c r="B22" s="3" t="s">
        <v>167</v>
      </c>
      <c r="C22" s="17" t="s">
        <v>168</v>
      </c>
      <c r="D22" s="17"/>
      <c r="E22" s="17"/>
      <c r="F22" s="17"/>
      <c r="G22" s="17"/>
      <c r="H22" s="17"/>
      <c r="I22" s="17"/>
      <c r="J22" s="17"/>
      <c r="K22" s="17"/>
      <c r="L22" s="17"/>
    </row>
    <row r="23" customFormat="false" ht="24" hidden="false" customHeight="true" outlineLevel="0" collapsed="false">
      <c r="A23" s="14" t="s">
        <v>169</v>
      </c>
      <c r="B23" s="6" t="s">
        <v>170</v>
      </c>
      <c r="C23" s="15" t="s">
        <v>171</v>
      </c>
      <c r="D23" s="15"/>
      <c r="E23" s="15"/>
      <c r="F23" s="15"/>
      <c r="G23" s="15"/>
      <c r="H23" s="15"/>
      <c r="I23" s="15"/>
      <c r="J23" s="15"/>
      <c r="K23" s="15"/>
      <c r="L23" s="15"/>
    </row>
    <row r="24" customFormat="false" ht="24" hidden="false" customHeight="true" outlineLevel="0" collapsed="false">
      <c r="A24" s="16" t="s">
        <v>172</v>
      </c>
      <c r="B24" s="3" t="s">
        <v>173</v>
      </c>
      <c r="C24" s="17" t="s">
        <v>174</v>
      </c>
      <c r="D24" s="17"/>
      <c r="E24" s="17"/>
      <c r="F24" s="17"/>
      <c r="G24" s="17"/>
      <c r="H24" s="17"/>
      <c r="I24" s="17"/>
      <c r="J24" s="17"/>
      <c r="K24" s="17"/>
      <c r="L24" s="17"/>
    </row>
    <row r="25" customFormat="false" ht="24" hidden="false" customHeight="true" outlineLevel="0" collapsed="false">
      <c r="A25" s="14" t="s">
        <v>175</v>
      </c>
      <c r="B25" s="6" t="s">
        <v>176</v>
      </c>
      <c r="C25" s="15" t="s">
        <v>177</v>
      </c>
      <c r="D25" s="15"/>
      <c r="E25" s="15"/>
      <c r="F25" s="15"/>
      <c r="G25" s="15"/>
      <c r="H25" s="15"/>
      <c r="I25" s="15"/>
      <c r="J25" s="15"/>
      <c r="K25" s="15"/>
      <c r="L25" s="15"/>
    </row>
    <row r="26" customFormat="false" ht="24" hidden="false" customHeight="true" outlineLevel="0" collapsed="false">
      <c r="A26" s="16" t="s">
        <v>178</v>
      </c>
      <c r="B26" s="3" t="s">
        <v>179</v>
      </c>
      <c r="C26" s="17" t="s">
        <v>180</v>
      </c>
      <c r="D26" s="17"/>
      <c r="E26" s="17"/>
      <c r="F26" s="17"/>
      <c r="G26" s="17"/>
      <c r="H26" s="17"/>
      <c r="I26" s="17"/>
      <c r="J26" s="17"/>
      <c r="K26" s="17"/>
      <c r="L26" s="17"/>
    </row>
  </sheetData>
  <mergeCells count="23">
    <mergeCell ref="A1:L1"/>
    <mergeCell ref="A3:L3"/>
    <mergeCell ref="C4:L4"/>
    <mergeCell ref="C5:L5"/>
    <mergeCell ref="C6:L6"/>
    <mergeCell ref="C7:L7"/>
    <mergeCell ref="C8:L8"/>
    <mergeCell ref="C9:L9"/>
    <mergeCell ref="C10:L10"/>
    <mergeCell ref="C11:L11"/>
    <mergeCell ref="C12:L12"/>
    <mergeCell ref="C13:L13"/>
    <mergeCell ref="C14:L14"/>
    <mergeCell ref="A17:L17"/>
    <mergeCell ref="C18:L18"/>
    <mergeCell ref="C19:L19"/>
    <mergeCell ref="C20:L20"/>
    <mergeCell ref="C21:L21"/>
    <mergeCell ref="C22:L22"/>
    <mergeCell ref="C23:L23"/>
    <mergeCell ref="C24:L24"/>
    <mergeCell ref="C25:L25"/>
    <mergeCell ref="C26:L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2026-03-21T02:00:54Z</dcterms:created>
  <dc:creator>openpyxl</dc:creator>
  <dc:description/>
  <dc:language>en-US</dc:language>
  <cp:lastModifiedBy/>
  <dcterms:modified xsi:type="dcterms:W3CDTF">2026-03-21T02:01:23Z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