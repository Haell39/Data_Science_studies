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Documents\Estudos Desktop\Excel\"/>
    </mc:Choice>
  </mc:AlternateContent>
  <xr:revisionPtr revIDLastSave="0" documentId="13_ncr:1_{7BD8A139-E3CE-4100-982C-4EEB115611CB}" xr6:coauthVersionLast="47" xr6:coauthVersionMax="47" xr10:uidLastSave="{00000000-0000-0000-0000-000000000000}"/>
  <bookViews>
    <workbookView xWindow="-105" yWindow="0" windowWidth="14610" windowHeight="15585" tabRatio="500" firstSheet="7" activeTab="7" xr2:uid="{00000000-000D-0000-FFFF-FFFF00000000}"/>
  </bookViews>
  <sheets>
    <sheet name="📋 Índice" sheetId="1" r:id="rId1"/>
    <sheet name="1️⃣ SOMA &amp; MÉDIA" sheetId="2" r:id="rId2"/>
    <sheet name="2️⃣ SE (IF)" sheetId="3" r:id="rId3"/>
    <sheet name="3️⃣ SOMASE &amp; CONT.SE" sheetId="4" r:id="rId4"/>
    <sheet name="5️⃣ TEXTO &amp; DATA" sheetId="6" r:id="rId5"/>
    <sheet name="4️⃣ PROCV (VLOOKUP)" sheetId="5" r:id="rId6"/>
    <sheet name="6️⃣ ÍNDICE+CORRESP" sheetId="7" r:id="rId7"/>
    <sheet name="7️⃣ Atalhos &amp; Dica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7" i="7" l="1"/>
  <c r="G26" i="7"/>
  <c r="G24" i="7"/>
  <c r="G22" i="7"/>
  <c r="G19" i="7"/>
  <c r="G18" i="7"/>
  <c r="G16" i="7" a="1"/>
  <c r="G16" i="7" s="1"/>
  <c r="G14" i="7" a="1"/>
  <c r="G14" i="7" s="1"/>
  <c r="G10" i="7" a="1"/>
  <c r="G10" i="7" s="1"/>
  <c r="M10" i="5" a="1"/>
  <c r="M10" i="5" s="1"/>
  <c r="J17" i="5"/>
  <c r="J16" i="5"/>
  <c r="P10" i="5" a="1"/>
  <c r="P10" i="5" s="1"/>
  <c r="K11" i="5"/>
  <c r="K12" i="5"/>
  <c r="K10" i="5"/>
  <c r="J11" i="5"/>
  <c r="J12" i="5"/>
  <c r="J10" i="5"/>
  <c r="I9" i="2"/>
  <c r="I8" i="2"/>
  <c r="I7" i="2"/>
  <c r="I6" i="2"/>
  <c r="I5" i="2"/>
  <c r="G21" i="6"/>
  <c r="I20" i="6"/>
  <c r="J20" i="6"/>
  <c r="H20" i="6"/>
  <c r="G20" i="6"/>
  <c r="G19" i="6"/>
  <c r="G17" i="6"/>
  <c r="G16" i="6"/>
  <c r="G12" i="6"/>
  <c r="H11" i="6"/>
  <c r="G11" i="6"/>
  <c r="G9" i="6"/>
  <c r="G8" i="6"/>
  <c r="G7" i="6"/>
  <c r="G6" i="6"/>
  <c r="K6" i="4"/>
  <c r="J6" i="4"/>
  <c r="I6" i="4"/>
  <c r="H6" i="4"/>
  <c r="G6" i="4"/>
  <c r="K11" i="3" a="1"/>
  <c r="K11" i="3" s="1"/>
  <c r="K12" i="3" a="1"/>
  <c r="K12" i="3" s="1"/>
  <c r="K13" i="3" a="1"/>
  <c r="K13" i="3" s="1"/>
  <c r="K10" i="3" a="1"/>
  <c r="K10" i="3" s="1"/>
  <c r="H10" i="3"/>
  <c r="H11" i="3"/>
  <c r="H12" i="3"/>
  <c r="H13" i="3"/>
  <c r="G10" i="3"/>
  <c r="G11" i="3"/>
  <c r="G12" i="3"/>
  <c r="G13" i="3"/>
  <c r="D19" i="7"/>
  <c r="D18" i="7"/>
  <c r="D17" i="7"/>
  <c r="H12" i="5"/>
  <c r="H11" i="5"/>
  <c r="H10" i="5"/>
  <c r="E13" i="3"/>
  <c r="E12" i="3"/>
  <c r="E11" i="3"/>
  <c r="E1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<sst xmlns="http://schemas.openxmlformats.org/spreadsheetml/2006/main" count="333" uniqueCount="279">
  <si>
    <t>Excel Cheat Sheet — Entrevista CX Trade</t>
  </si>
  <si>
    <t>Guia das fórmulas essenciais para o estágio de TI | Rafael Dutra</t>
  </si>
  <si>
    <t>Aba</t>
  </si>
  <si>
    <t>Fórmulas</t>
  </si>
  <si>
    <t>Uso na CX Trade</t>
  </si>
  <si>
    <t>1️⃣  SOMA &amp; MÉDIA</t>
  </si>
  <si>
    <t>SUM, AVERAGE, MIN, MAX, COUNT</t>
  </si>
  <si>
    <t>Totais de vendas PDV, médias de sell-out</t>
  </si>
  <si>
    <t>2️⃣  SE (IF)</t>
  </si>
  <si>
    <t>IF, IF aninhado, IFS</t>
  </si>
  <si>
    <t>Classificar SKUs, metas atingidas / não</t>
  </si>
  <si>
    <t>3️⃣  SOMASE &amp; CONT.SE</t>
  </si>
  <si>
    <t>SUMIF, COUNTIF, SUMIFS, COUNTIFS</t>
  </si>
  <si>
    <t>Vendas por região, filial ou produto</t>
  </si>
  <si>
    <t>4️⃣  PROCV</t>
  </si>
  <si>
    <t>VLOOKUP, XLOOKUP (bônus)</t>
  </si>
  <si>
    <t>Cruzar tabelas SKU, preço e estoque</t>
  </si>
  <si>
    <t>5️⃣  TEXTO &amp; DATA</t>
  </si>
  <si>
    <t>CONCATENATE, LEFT, RIGHT, TODAY, DATEDIF</t>
  </si>
  <si>
    <t>Tratar cadastros, calcular prazos</t>
  </si>
  <si>
    <t>6️⃣  ÍNDICE+CORRESP</t>
  </si>
  <si>
    <t>INDEX, MATCH</t>
  </si>
  <si>
    <t>Busca flexível em relatórios de PDV</t>
  </si>
  <si>
    <t>7️⃣  Atalhos &amp; Dicas</t>
  </si>
  <si>
    <t>Ctrl+T, F4, $A$1, Filtros...</t>
  </si>
  <si>
    <t>Produtividade máxima no dia a dia</t>
  </si>
  <si>
    <t>🎯 Dica de ouro: em toda entrevista, mostre RESULTADO + CONTEXTO. Ex: 'Usei PROCV para cruzar 3 planilhas de PDV e reduzir erro de cadastro em 40%'.</t>
  </si>
  <si>
    <t>SOMA, MÉDIA, MÍN, MÁX, CONT.NÚM — Estatísticas Básicas</t>
  </si>
  <si>
    <t>Essenciais para analisar vendas no PDV, médias de sell-out e contagem de ocorrências.</t>
  </si>
  <si>
    <t>📊 Tabela de Vendas por Filial</t>
  </si>
  <si>
    <t>Filial</t>
  </si>
  <si>
    <t>Produto</t>
  </si>
  <si>
    <t>Unidades</t>
  </si>
  <si>
    <t>Receita (R$)</t>
  </si>
  <si>
    <t>Recife Centro</t>
  </si>
  <si>
    <t>Produto A</t>
  </si>
  <si>
    <t>Recife Norte</t>
  </si>
  <si>
    <t>Produto B</t>
  </si>
  <si>
    <t>Olinda</t>
  </si>
  <si>
    <t>Caruaru</t>
  </si>
  <si>
    <t>Produto C</t>
  </si>
  <si>
    <t>Recife Sul</t>
  </si>
  <si>
    <t>🧮 Aplicando as Fórmulas</t>
  </si>
  <si>
    <t>Função</t>
  </si>
  <si>
    <t>Fórmula (Unidades)</t>
  </si>
  <si>
    <t>Fórmula (Receita)</t>
  </si>
  <si>
    <t>Para que serve</t>
  </si>
  <si>
    <t>SOMA</t>
  </si>
  <si>
    <t> =SUM(D6:D10)</t>
  </si>
  <si>
    <t> =SUM(E6:E10)</t>
  </si>
  <si>
    <t>Total geral</t>
  </si>
  <si>
    <t>MÉDIA</t>
  </si>
  <si>
    <t> =AVERAGE(D6:D10)</t>
  </si>
  <si>
    <t> =AVERAGE(E6:E10)</t>
  </si>
  <si>
    <t>Média por filial</t>
  </si>
  <si>
    <t>MÁX</t>
  </si>
  <si>
    <t> =MAX(D6:D10)</t>
  </si>
  <si>
    <t> =MAX(E6:E10)</t>
  </si>
  <si>
    <t>Melhor desempenho</t>
  </si>
  <si>
    <t>MÍN</t>
  </si>
  <si>
    <t> =MIN(D6:D10)</t>
  </si>
  <si>
    <t> =MIN(E6:E10)</t>
  </si>
  <si>
    <t>Pior desempenho</t>
  </si>
  <si>
    <t>CONT.NÚM</t>
  </si>
  <si>
    <t> =COUNT(D6:D10)</t>
  </si>
  <si>
    <t>—</t>
  </si>
  <si>
    <t>Qtd filiais com dado</t>
  </si>
  <si>
    <t>💡 Dica: Use SUM para somar sell-out do mês, AVERAGE para benchmarking entre PDVs, MAX/MIN para destacar outliers em relatórios.</t>
  </si>
  <si>
    <t>SE — Tomada de Decisão Condicional (IF / IFS)</t>
  </si>
  <si>
    <t>Classifique metas, status de entregas e performance de PDVs automaticamente.</t>
  </si>
  <si>
    <t>📐 Sintaxe</t>
  </si>
  <si>
    <t> =SE( teste_lógico ; valor_se_verdadeiro ; valor_se_falso )</t>
  </si>
  <si>
    <t> =IF( logical_test , value_if_true , value_if_false )</t>
  </si>
  <si>
    <t>📊 Avaliação de Meta de Filiais</t>
  </si>
  <si>
    <t>Meta (un)</t>
  </si>
  <si>
    <t>Vendido (un)</t>
  </si>
  <si>
    <t>Status</t>
  </si>
  <si>
    <t>🔁 Como escrever o IF com 3 resultados (IF aninhado)</t>
  </si>
  <si>
    <t> =IF(D&gt;=120%,"🥇 Destaque", IF(D&gt;=100%,"✅ OK","⚠️ Atenção"))</t>
  </si>
  <si>
    <t>Leia assim: SE vendido &gt;= 120% → Destaque; SENÃO SE &gt;= 100% → OK; SENÃO → Atenção</t>
  </si>
  <si>
    <t>🆕 IFS — alternativa mais limpa ao IF aninhado (Excel 2019+)</t>
  </si>
  <si>
    <t> =IFS(D&gt;=120%,"🥇 Destaque", D&gt;=100%,"✅ OK", D&lt;100%,"⚠️ Atenção")</t>
  </si>
  <si>
    <t>💡 Dica: Na entrevista: 'Usei SE aninhado para classificar automaticamente o desempenho de 200 PDVs em Destaque / OK / Atenção, eliminando classificação manual.'</t>
  </si>
  <si>
    <t>SOMASE / CONT.SE / SOMASES / CONT.SES — Somas Condicionais</t>
  </si>
  <si>
    <t>Some e conte apenas os dados que atendem a critérios — ex: vendas só de Recife ou só do Produto A.</t>
  </si>
  <si>
    <t>📊 Base de Dados (referência para as fórmulas abaixo)</t>
  </si>
  <si>
    <t>Região</t>
  </si>
  <si>
    <t>Unid. Vendidas</t>
  </si>
  <si>
    <t>Recife</t>
  </si>
  <si>
    <t>🧮 SOMASE — 1 critério</t>
  </si>
  <si>
    <t>Pergunta</t>
  </si>
  <si>
    <t>Critério</t>
  </si>
  <si>
    <t>Fórmula</t>
  </si>
  <si>
    <t>O que faz</t>
  </si>
  <si>
    <t>Total unid. de Recife?</t>
  </si>
  <si>
    <t>"Recife"</t>
  </si>
  <si>
    <t> =SUMIF(B6:B11,"Recife",D6:D11)</t>
  </si>
  <si>
    <t>Soma D onde B = Recife</t>
  </si>
  <si>
    <t>Total receita Produto A?</t>
  </si>
  <si>
    <t>"Produto A"</t>
  </si>
  <si>
    <t> =SUMIF(C6:C11,"Produto A",E6:E11)</t>
  </si>
  <si>
    <t>Soma E onde C = Produto A</t>
  </si>
  <si>
    <t>🧮 SOMASES — múltiplos critérios simultâneos</t>
  </si>
  <si>
    <t>Critérios</t>
  </si>
  <si>
    <t>Unid. de Recife e só Produto A?</t>
  </si>
  <si>
    <t>Recife + Produto A</t>
  </si>
  <si>
    <t> =SUMIFS(D6:D11,B6:B11,"Recife",C6:C11,"Produto A")</t>
  </si>
  <si>
    <t>Soma D com 2 filtros simultâneos</t>
  </si>
  <si>
    <t>🧮 CONT.SE — conta ocorrências</t>
  </si>
  <si>
    <t>Quantas linhas são de Recife?</t>
  </si>
  <si>
    <t> =COUNTIF(B6:B11,"Recife")</t>
  </si>
  <si>
    <t>Conta células onde B = Recife</t>
  </si>
  <si>
    <t>💡 Dica: SOMASE / CONT.SE são as mais pedidas em entrevistas. Ordem: (intervalo_critério ; critério ; intervalo_soma). SOMASES inverte: (intervalo_soma ; critério1_range ; critério1 ; ...).</t>
  </si>
  <si>
    <t>PROCV / VLOOKUP — Cruzamento de Tabelas (a mais cobrada!)</t>
  </si>
  <si>
    <t>Busca um valor na 1ª coluna de uma tabela e retorna dado de outra coluna. Ideal para cruzar SKU x Preço, Produto x Estoque.</t>
  </si>
  <si>
    <t> =PROCV( valor_procurado ; tabela_array ; núm_coluna ; 0 )</t>
  </si>
  <si>
    <t>⚠️  Último arg: 0 = correspondência EXATA (use sempre!). A busca SEMPRE começa na 1ª coluna do array.</t>
  </si>
  <si>
    <t>📋 Tabela A: Cadastro de Produtos</t>
  </si>
  <si>
    <t>📋 Tabela B: Vendas PDV</t>
  </si>
  <si>
    <t>Código SKU</t>
  </si>
  <si>
    <t>Preço (R$)</t>
  </si>
  <si>
    <t>SKU Vendido</t>
  </si>
  <si>
    <t>Qtd</t>
  </si>
  <si>
    <t>Preço (PROCV)</t>
  </si>
  <si>
    <t>SKU-001</t>
  </si>
  <si>
    <t>Refrigerante 2L</t>
  </si>
  <si>
    <t>SKU-003</t>
  </si>
  <si>
    <t>SKU-002</t>
  </si>
  <si>
    <t>Suco Natural 1L</t>
  </si>
  <si>
    <t>Água Mineral 500ml</t>
  </si>
  <si>
    <t>SKU-004</t>
  </si>
  <si>
    <t>Isotônico 1L</t>
  </si>
  <si>
    <t>🔍 Dissecando: =PROCV(F10, $B$10:$D$13, 3, 0)</t>
  </si>
  <si>
    <t>Argumento</t>
  </si>
  <si>
    <t>Nome</t>
  </si>
  <si>
    <t>O que significa</t>
  </si>
  <si>
    <t>F10</t>
  </si>
  <si>
    <t>Valor procurado</t>
  </si>
  <si>
    <t>SKU que você quer encontrar</t>
  </si>
  <si>
    <t>$B$10:$D$13</t>
  </si>
  <si>
    <t>Tabela array</t>
  </si>
  <si>
    <t>Tabela A (busca sempre começa na col B)</t>
  </si>
  <si>
    <t>3</t>
  </si>
  <si>
    <t>Nº coluna índice</t>
  </si>
  <si>
    <t>Retorna 3ª coluna do array = Preço</t>
  </si>
  <si>
    <t>0 / FALSE</t>
  </si>
  <si>
    <t>Correspondência</t>
  </si>
  <si>
    <t>0 = EXATA — sempre use 0 pra não errar!</t>
  </si>
  <si>
    <t>💡 Dica: ERRO #N/A? Verifique espaços extras (use TRIM), diferença maiúsculas/minúsculas, ou formato diferente (texto vs número). Solução: =VLOOKUP(TRIM(F10),...)</t>
  </si>
  <si>
    <t>Funções de TEXTO &amp; DATA — Tratamento de Cadastros e Prazos</t>
  </si>
  <si>
    <t>Limpe dados de PDVs, extraia partes de texto e calcule prazos automaticamente.</t>
  </si>
  <si>
    <t>📝 Funções de Texto</t>
  </si>
  <si>
    <t>Dado Original</t>
  </si>
  <si>
    <t>Resultado</t>
  </si>
  <si>
    <t>ESQUERDA / LEFT</t>
  </si>
  <si>
    <t>Rafael Dutra</t>
  </si>
  <si>
    <t> =LEFT("Rafael Dutra",6)</t>
  </si>
  <si>
    <t>"Rafael" — 6 chars da esquerda</t>
  </si>
  <si>
    <t>DIREITA / RIGHT</t>
  </si>
  <si>
    <t> =RIGHT("SKU-001",3)</t>
  </si>
  <si>
    <t>"001" — 3 chars da direita</t>
  </si>
  <si>
    <t>EXT.TEXTO / MID</t>
  </si>
  <si>
    <t>Recife-PE-Brazil</t>
  </si>
  <si>
    <t> =MID("Recife-PE-Brazil",8,2)</t>
  </si>
  <si>
    <t>"PE" — 2 chars a partir do 8º</t>
  </si>
  <si>
    <t>CONCAT / "&amp;"</t>
  </si>
  <si>
    <t>Nome + " - " + Cidade</t>
  </si>
  <si>
    <t> ="Rafael"&amp;" - "&amp;"Recife"</t>
  </si>
  <si>
    <t>"Rafael - Recife"</t>
  </si>
  <si>
    <t>MAIÚSCULA / UPPER</t>
  </si>
  <si>
    <t>recife centro</t>
  </si>
  <si>
    <t> =UPPER("recife centro")</t>
  </si>
  <si>
    <t>"RECIFE CENTRO"</t>
  </si>
  <si>
    <t>ARRUMAR / TRIM</t>
  </si>
  <si>
    <t xml:space="preserve">  Produto A  </t>
  </si>
  <si>
    <t> =TRIM("  Produto A  ")</t>
  </si>
  <si>
    <t>"Produto A" — remove espaços</t>
  </si>
  <si>
    <t>NÚM.CARACT / LEN</t>
  </si>
  <si>
    <t>Produto XPTO 2L</t>
  </si>
  <si>
    <t> =LEN("Produto XPTO 2L")</t>
  </si>
  <si>
    <t>"16" — total de caracteres</t>
  </si>
  <si>
    <t>📅 Funções de Data</t>
  </si>
  <si>
    <t>Obs</t>
  </si>
  <si>
    <t>HOJE / TODAY</t>
  </si>
  <si>
    <t>Data de hoje automática</t>
  </si>
  <si>
    <t> =TODAY()</t>
  </si>
  <si>
    <t>Atualiza ao abrir</t>
  </si>
  <si>
    <t>AGORA / NOW</t>
  </si>
  <si>
    <t>Data + Hora atual</t>
  </si>
  <si>
    <t> =NOW()</t>
  </si>
  <si>
    <t>Inclui horário</t>
  </si>
  <si>
    <t>DATEDIF</t>
  </si>
  <si>
    <t>Dias entre 2 datas</t>
  </si>
  <si>
    <t> =DATEDIF("01/01/2024",TODAY(),"D")</t>
  </si>
  <si>
    <t>D=dias,M=meses,Y=anos</t>
  </si>
  <si>
    <t>DIAS / DAYS</t>
  </si>
  <si>
    <t>Dias até um prazo</t>
  </si>
  <si>
    <t> =DAYS("31/12/2026",TODAY())</t>
  </si>
  <si>
    <t>Prazo - Hoje</t>
  </si>
  <si>
    <t>DIA / MÊS / ANO</t>
  </si>
  <si>
    <t>Extrai parte da data</t>
  </si>
  <si>
    <t> =DAY(TODAY())</t>
  </si>
  <si>
    <t>Também MONTH, YEAR</t>
  </si>
  <si>
    <t>DIA.DA.SEMANA</t>
  </si>
  <si>
    <t>Dia da semana (1=Seg,...,7=Dom)</t>
  </si>
  <si>
    <t> =WEEKDAY(TODAY(),2)</t>
  </si>
  <si>
    <t>Tipo 2 = 1=Seg</t>
  </si>
  <si>
    <t>💡 Dica: TRIM e UPPER são salvadores! Dados de PDV frequentemente vêm com espaços e capitalização errada. Use antes de qualquer PROCV para evitar erros #N/A.</t>
  </si>
  <si>
    <t>ÍNDICE + CORRESP — Versão Turbinada do PROCV</t>
  </si>
  <si>
    <t>Não precisa que o valor de busca esteja na 1ª coluna. Busca à esquerda, à direita, em qualquer direção.</t>
  </si>
  <si>
    <t> =INDEX( coluna_resultado , MATCH( valor_buscado , coluna_busca , 0 ) )</t>
  </si>
  <si>
    <t>MATCH retorna a POSIÇÃO do valor. INDEX usa essa posição para retornar o dado da coluna desejada.</t>
  </si>
  <si>
    <t>📊 Tabela de Produtos</t>
  </si>
  <si>
    <t>Estoque</t>
  </si>
  <si>
    <t>Água Mineral</t>
  </si>
  <si>
    <t>🧮 Exemplos com INDEX + MATCH</t>
  </si>
  <si>
    <t>Objetivo</t>
  </si>
  <si>
    <t>Busca por</t>
  </si>
  <si>
    <t>Vantagem s/ PROCV</t>
  </si>
  <si>
    <t>Preço do SKU-003</t>
  </si>
  <si>
    <t>SKU (col C)</t>
  </si>
  <si>
    <t>Busca pela col do meio</t>
  </si>
  <si>
    <t>Estoque do SKU-002</t>
  </si>
  <si>
    <t>Retorna col à dir ou esq</t>
  </si>
  <si>
    <t>SKU da Água Mineral</t>
  </si>
  <si>
    <t>Produto (col B)</t>
  </si>
  <si>
    <t>Busca pra esquerda! PROCV não pode.</t>
  </si>
  <si>
    <t>💡 Dica: Na entrevista: 'ÍNDICE+CORRESP é mais robusto que PROCV porque não quebra ao inserir colunas e permite busca à esquerda — usei para cruzar relatórios de PDV com cadastro de produtos.'</t>
  </si>
  <si>
    <t>Atalhos, Dicas &amp; Produtividade no Excel</t>
  </si>
  <si>
    <t>NAVEGAÇÃO &amp; SELEÇÃO</t>
  </si>
  <si>
    <t>FORMATAÇÃO RÁPIDA</t>
  </si>
  <si>
    <t>Ctrl + Seta</t>
  </si>
  <si>
    <t>Vai para a última célula com dado</t>
  </si>
  <si>
    <t>Ctrl + T</t>
  </si>
  <si>
    <t>Cria Tabela Excel (expande fórmulas auto!)</t>
  </si>
  <si>
    <t>Ctrl + Shift + Seta</t>
  </si>
  <si>
    <t>Seleciona até última célula com dado</t>
  </si>
  <si>
    <t>Ctrl + Shift + L</t>
  </si>
  <si>
    <t>Ativa/desativa Filtro Automático</t>
  </si>
  <si>
    <t>Ctrl + Home / End</t>
  </si>
  <si>
    <t>Vai para A1 / última célula usada</t>
  </si>
  <si>
    <t>Alt + H + O + I</t>
  </si>
  <si>
    <t>Autoajuste largura de colunas</t>
  </si>
  <si>
    <t>Ctrl + G / F5</t>
  </si>
  <si>
    <t>Vai para célula específica</t>
  </si>
  <si>
    <t>Ctrl + 1</t>
  </si>
  <si>
    <t>Abre caixa Formatar Células</t>
  </si>
  <si>
    <t>FÓRMULAS ESSENCIAIS</t>
  </si>
  <si>
    <t>DICAS DE OURO</t>
  </si>
  <si>
    <t>F2</t>
  </si>
  <si>
    <t>Edita célula e mostra quais células ela usa</t>
  </si>
  <si>
    <t>$A$1 (ref. absoluta)</t>
  </si>
  <si>
    <t>Trava linha/coluna ao copiar fórmula — use F4!</t>
  </si>
  <si>
    <t>F4</t>
  </si>
  <si>
    <t>Alterna: A1 → $A$1 → A$1 → $A1</t>
  </si>
  <si>
    <t>Tabela Excel (Ctrl+T)</t>
  </si>
  <si>
    <t>Fórmulas referenciam: =SOMA(Vendas[Receita])</t>
  </si>
  <si>
    <t>Ctrl + `</t>
  </si>
  <si>
    <t>Alterna entre valores e fórmulas</t>
  </si>
  <si>
    <t>Validação de Dados</t>
  </si>
  <si>
    <t>Cria dropdowns para evitar erro de digitação</t>
  </si>
  <si>
    <t>Ctrl + Shift + Enter</t>
  </si>
  <si>
    <t>Fórmula matricial (arrays)</t>
  </si>
  <si>
    <t>Ctrl + Z / Y</t>
  </si>
  <si>
    <t>Desfazer / Refazer — use sem medo!</t>
  </si>
  <si>
    <t>🏆 Script de entrevista: 'No Horus AI, usei SOMASES e PROCV para cruzar dados de ocorrências com uma base de 10k+ registros — reduzi o tempo de análise de 2h para 10min.'</t>
  </si>
  <si>
    <t>Procv</t>
  </si>
  <si>
    <t>Procx</t>
  </si>
  <si>
    <t>Agregar</t>
  </si>
  <si>
    <t>Filtro</t>
  </si>
  <si>
    <t>QTD de Vendas</t>
  </si>
  <si>
    <t>Média total do preço</t>
  </si>
  <si>
    <t>Filtro: produtos estoque &gt; 200</t>
  </si>
  <si>
    <t>SOMA + FILTRO: estoque total produtos &lt; 6R$</t>
  </si>
  <si>
    <t>MEDIA + FILTRO: Média preço estoque acima 250</t>
  </si>
  <si>
    <t>CORRESP  Acha a POSIÇÃO do valor (sku003)?</t>
  </si>
  <si>
    <t>ÍNDICE sozinho Retorna o valor de uma posição
 Qual o valor na posição 3 da coluna D?</t>
  </si>
  <si>
    <t>Qual valor da posição 4 da coluna estoque</t>
  </si>
  <si>
    <t>ÍNDICE + CORRESP junto — O combo: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</si>
</sst>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1F3864"/>
      <name val="Arial"/>
      <charset val="1"/>
    </font>
    <font>
      <b/>
      <sz val="9"/>
      <color rgb="FF1A1A2E"/>
      <name val="Arial"/>
      <charset val="1"/>
    </font>
    <font>
      <sz val="9"/>
      <color rgb="FF1A1A2E"/>
      <name val="Arial"/>
      <charset val="1"/>
    </font>
    <font>
      <b/>
      <sz val="10"/>
      <color rgb="FF1F3864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  <font>
      <sz val="9"/>
      <color rgb="FF2E75B6"/>
      <name val="Arial"/>
      <charset val="1"/>
    </font>
    <font>
      <i/>
      <sz val="9"/>
      <color rgb="FF1F3864"/>
      <name val="Arial"/>
      <charset val="1"/>
    </font>
    <font>
      <b/>
      <sz val="10"/>
      <color rgb="FF1A1A2E"/>
      <name val="Arial"/>
      <charset val="1"/>
    </font>
    <font>
      <b/>
      <sz val="9"/>
      <color rgb="FF70AD47"/>
      <name val="Arial"/>
      <charset val="1"/>
    </font>
    <font>
      <b/>
      <sz val="9"/>
      <color rgb="FFFF6B6B"/>
      <name val="Arial"/>
      <charset val="1"/>
    </font>
    <font>
      <b/>
      <sz val="9"/>
      <color rgb="FF2E75B6"/>
      <name val="Arial"/>
      <charset val="1"/>
    </font>
    <font>
      <u/>
      <sz val="11"/>
      <color theme="1"/>
      <name val="Calibri"/>
      <family val="2"/>
      <charset val="1"/>
    </font>
    <font>
      <b/>
      <sz val="11"/>
      <color theme="1"/>
      <name val="Calibri"/>
      <family val="2"/>
    </font>
    <font>
      <b/>
      <sz val="9"/>
      <color rgb="FF1F3864"/>
      <name val="Arial"/>
      <family val="2"/>
    </font>
    <font>
      <b/>
      <sz val="11"/>
      <color theme="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FD966"/>
        <bgColor rgb="FFFFFF99"/>
      </patternFill>
    </fill>
    <fill>
      <patternFill patternType="solid">
        <fgColor rgb="FFBDD7EE"/>
        <bgColor rgb="FF99CCFF"/>
      </patternFill>
    </fill>
    <fill>
      <patternFill patternType="solid">
        <fgColor rgb="FF70AD47"/>
        <bgColor rgb="FF339966"/>
      </patternFill>
    </fill>
    <fill>
      <patternFill patternType="solid">
        <fgColor rgb="FFE2EFDA"/>
        <bgColor rgb="FFF2F2F2"/>
      </patternFill>
    </fill>
    <fill>
      <patternFill patternType="solid">
        <fgColor rgb="FFED7D31"/>
        <bgColor rgb="FFFF6B6B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14" fontId="0" fillId="0" borderId="0" xfId="0" applyNumberFormat="1"/>
    <xf numFmtId="22" fontId="0" fillId="0" borderId="0" xfId="0" applyNumberFormat="1"/>
    <xf numFmtId="0" fontId="15" fillId="0" borderId="0" xfId="0" applyFont="1"/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11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16" fillId="13" borderId="0" xfId="0" applyFont="1" applyFill="1" applyAlignment="1">
      <alignment horizontal="center"/>
    </xf>
    <xf numFmtId="0" fontId="16" fillId="13" borderId="0" xfId="0" applyFont="1" applyFill="1"/>
    <xf numFmtId="0" fontId="16" fillId="1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6" fillId="12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 wrapText="1"/>
    </xf>
    <xf numFmtId="0" fontId="18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/>
    </xf>
    <xf numFmtId="0" fontId="18" fillId="1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6B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ED7D31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13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30" customWidth="1"/>
    <col min="3" max="3" width="40" customWidth="1"/>
    <col min="4" max="4" width="22" customWidth="1"/>
  </cols>
  <sheetData>
    <row r="1" spans="2:4" ht="37.5" customHeight="1" x14ac:dyDescent="0.25">
      <c r="B1" s="45" t="s">
        <v>0</v>
      </c>
      <c r="C1" s="45"/>
      <c r="D1" s="45"/>
    </row>
    <row r="2" spans="2:4" ht="21.75" customHeight="1" x14ac:dyDescent="0.25">
      <c r="B2" s="41" t="s">
        <v>1</v>
      </c>
      <c r="C2" s="41"/>
      <c r="D2" s="41"/>
    </row>
    <row r="4" spans="2:4" ht="19.5" customHeight="1" x14ac:dyDescent="0.25">
      <c r="B4" s="1" t="s">
        <v>2</v>
      </c>
      <c r="C4" s="1" t="s">
        <v>3</v>
      </c>
      <c r="D4" s="1" t="s">
        <v>4</v>
      </c>
    </row>
    <row r="5" spans="2:4" ht="21.75" customHeight="1" x14ac:dyDescent="0.25">
      <c r="B5" s="2" t="s">
        <v>5</v>
      </c>
      <c r="C5" s="3" t="s">
        <v>6</v>
      </c>
      <c r="D5" s="3" t="s">
        <v>7</v>
      </c>
    </row>
    <row r="6" spans="2:4" ht="21.75" customHeight="1" x14ac:dyDescent="0.25">
      <c r="B6" s="4" t="s">
        <v>8</v>
      </c>
      <c r="C6" s="5" t="s">
        <v>9</v>
      </c>
      <c r="D6" s="5" t="s">
        <v>10</v>
      </c>
    </row>
    <row r="7" spans="2:4" ht="21.75" customHeight="1" x14ac:dyDescent="0.25">
      <c r="B7" s="2" t="s">
        <v>11</v>
      </c>
      <c r="C7" s="3" t="s">
        <v>12</v>
      </c>
      <c r="D7" s="3" t="s">
        <v>13</v>
      </c>
    </row>
    <row r="8" spans="2:4" ht="21.75" customHeight="1" x14ac:dyDescent="0.25">
      <c r="B8" s="4" t="s">
        <v>14</v>
      </c>
      <c r="C8" s="5" t="s">
        <v>15</v>
      </c>
      <c r="D8" s="5" t="s">
        <v>16</v>
      </c>
    </row>
    <row r="9" spans="2:4" ht="21.75" customHeight="1" x14ac:dyDescent="0.25">
      <c r="B9" s="2" t="s">
        <v>17</v>
      </c>
      <c r="C9" s="3" t="s">
        <v>18</v>
      </c>
      <c r="D9" s="3" t="s">
        <v>19</v>
      </c>
    </row>
    <row r="10" spans="2:4" ht="21.75" customHeight="1" x14ac:dyDescent="0.25">
      <c r="B10" s="4" t="s">
        <v>20</v>
      </c>
      <c r="C10" s="5" t="s">
        <v>21</v>
      </c>
      <c r="D10" s="5" t="s">
        <v>22</v>
      </c>
    </row>
    <row r="11" spans="2:4" ht="21.75" customHeight="1" x14ac:dyDescent="0.25">
      <c r="B11" s="2" t="s">
        <v>23</v>
      </c>
      <c r="C11" s="3" t="s">
        <v>24</v>
      </c>
      <c r="D11" s="3" t="s">
        <v>25</v>
      </c>
    </row>
    <row r="13" spans="2:4" ht="37.5" customHeight="1" x14ac:dyDescent="0.25">
      <c r="B13" s="46" t="s">
        <v>26</v>
      </c>
      <c r="C13" s="46"/>
      <c r="D13" s="46"/>
    </row>
  </sheetData>
  <mergeCells count="3">
    <mergeCell ref="B1:D1"/>
    <mergeCell ref="B2:D2"/>
    <mergeCell ref="B13:D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0"/>
  <sheetViews>
    <sheetView showGridLines="0" zoomScaleNormal="100" workbookViewId="0">
      <selection activeCell="I10" sqref="I10"/>
    </sheetView>
  </sheetViews>
  <sheetFormatPr defaultColWidth="8.7109375" defaultRowHeight="15" x14ac:dyDescent="0.25"/>
  <cols>
    <col min="1" max="1" width="2" customWidth="1"/>
    <col min="2" max="2" width="20" customWidth="1"/>
    <col min="3" max="3" width="14" customWidth="1"/>
    <col min="4" max="4" width="16" customWidth="1"/>
    <col min="5" max="5" width="14" customWidth="1"/>
    <col min="6" max="6" width="2" customWidth="1"/>
    <col min="7" max="7" width="30" customWidth="1"/>
  </cols>
  <sheetData>
    <row r="1" spans="2:9" ht="31.5" customHeight="1" x14ac:dyDescent="0.25">
      <c r="B1" s="40" t="s">
        <v>27</v>
      </c>
      <c r="C1" s="40"/>
      <c r="D1" s="40"/>
      <c r="E1" s="40"/>
    </row>
    <row r="2" spans="2:9" ht="25.5" customHeight="1" x14ac:dyDescent="0.25">
      <c r="B2" s="41" t="s">
        <v>28</v>
      </c>
      <c r="C2" s="41"/>
      <c r="D2" s="41"/>
      <c r="E2" s="41"/>
    </row>
    <row r="4" spans="2:9" ht="21.75" customHeight="1" x14ac:dyDescent="0.25">
      <c r="B4" s="37" t="s">
        <v>29</v>
      </c>
      <c r="C4" s="37"/>
      <c r="D4" s="37"/>
      <c r="E4" s="37"/>
    </row>
    <row r="5" spans="2:9" x14ac:dyDescent="0.25">
      <c r="B5" s="6" t="s">
        <v>30</v>
      </c>
      <c r="C5" s="6" t="s">
        <v>31</v>
      </c>
      <c r="D5" s="6" t="s">
        <v>32</v>
      </c>
      <c r="E5" s="6" t="s">
        <v>33</v>
      </c>
      <c r="I5">
        <f>COUNT(D6:D10)</f>
        <v>5</v>
      </c>
    </row>
    <row r="6" spans="2:9" x14ac:dyDescent="0.25">
      <c r="B6" s="5" t="s">
        <v>34</v>
      </c>
      <c r="C6" s="5" t="s">
        <v>35</v>
      </c>
      <c r="D6" s="7">
        <v>120</v>
      </c>
      <c r="E6" s="7">
        <v>3600</v>
      </c>
      <c r="I6">
        <f>SUM(D6:D10)</f>
        <v>560</v>
      </c>
    </row>
    <row r="7" spans="2:9" x14ac:dyDescent="0.25">
      <c r="B7" s="3" t="s">
        <v>36</v>
      </c>
      <c r="C7" s="3" t="s">
        <v>37</v>
      </c>
      <c r="D7" s="8">
        <v>85</v>
      </c>
      <c r="E7" s="8">
        <v>2550</v>
      </c>
      <c r="I7">
        <f>AVERAGE(E6:E10)</f>
        <v>3360</v>
      </c>
    </row>
    <row r="8" spans="2:9" x14ac:dyDescent="0.25">
      <c r="B8" s="5" t="s">
        <v>38</v>
      </c>
      <c r="C8" s="5" t="s">
        <v>35</v>
      </c>
      <c r="D8" s="7">
        <v>200</v>
      </c>
      <c r="E8" s="7">
        <v>6000</v>
      </c>
      <c r="I8">
        <f>MIN(E6:E10)</f>
        <v>1800</v>
      </c>
    </row>
    <row r="9" spans="2:9" x14ac:dyDescent="0.25">
      <c r="B9" s="3" t="s">
        <v>39</v>
      </c>
      <c r="C9" s="3" t="s">
        <v>40</v>
      </c>
      <c r="D9" s="8">
        <v>60</v>
      </c>
      <c r="E9" s="8">
        <v>1800</v>
      </c>
      <c r="I9">
        <f>MAX(E6:E10)</f>
        <v>6000</v>
      </c>
    </row>
    <row r="10" spans="2:9" x14ac:dyDescent="0.25">
      <c r="B10" s="5" t="s">
        <v>41</v>
      </c>
      <c r="C10" s="5" t="s">
        <v>37</v>
      </c>
      <c r="D10" s="7">
        <v>95</v>
      </c>
      <c r="E10" s="7">
        <v>2850</v>
      </c>
    </row>
    <row r="12" spans="2:9" ht="21.75" customHeight="1" x14ac:dyDescent="0.25">
      <c r="B12" s="38" t="s">
        <v>42</v>
      </c>
      <c r="C12" s="38"/>
      <c r="D12" s="38"/>
      <c r="E12" s="38"/>
    </row>
    <row r="13" spans="2:9" ht="24" x14ac:dyDescent="0.25">
      <c r="B13" s="6" t="s">
        <v>43</v>
      </c>
      <c r="C13" s="6" t="s">
        <v>44</v>
      </c>
      <c r="D13" s="6" t="s">
        <v>45</v>
      </c>
      <c r="E13" s="6" t="s">
        <v>46</v>
      </c>
    </row>
    <row r="14" spans="2:9" x14ac:dyDescent="0.25">
      <c r="B14" s="9" t="s">
        <v>47</v>
      </c>
      <c r="C14" s="10" t="s">
        <v>48</v>
      </c>
      <c r="D14" s="10" t="s">
        <v>49</v>
      </c>
      <c r="E14" s="5" t="s">
        <v>50</v>
      </c>
    </row>
    <row r="15" spans="2:9" ht="24" x14ac:dyDescent="0.25">
      <c r="B15" s="11" t="s">
        <v>51</v>
      </c>
      <c r="C15" s="12" t="s">
        <v>52</v>
      </c>
      <c r="D15" s="12" t="s">
        <v>53</v>
      </c>
      <c r="E15" s="3" t="s">
        <v>54</v>
      </c>
    </row>
    <row r="16" spans="2:9" ht="24" x14ac:dyDescent="0.25">
      <c r="B16" s="9" t="s">
        <v>55</v>
      </c>
      <c r="C16" s="10" t="s">
        <v>56</v>
      </c>
      <c r="D16" s="10" t="s">
        <v>57</v>
      </c>
      <c r="E16" s="5" t="s">
        <v>58</v>
      </c>
    </row>
    <row r="17" spans="2:5" ht="24" x14ac:dyDescent="0.25">
      <c r="B17" s="11" t="s">
        <v>59</v>
      </c>
      <c r="C17" s="12" t="s">
        <v>60</v>
      </c>
      <c r="D17" s="12" t="s">
        <v>61</v>
      </c>
      <c r="E17" s="3" t="s">
        <v>62</v>
      </c>
    </row>
    <row r="18" spans="2:5" ht="24" x14ac:dyDescent="0.25">
      <c r="B18" s="9" t="s">
        <v>63</v>
      </c>
      <c r="C18" s="10" t="s">
        <v>64</v>
      </c>
      <c r="D18" s="10" t="s">
        <v>65</v>
      </c>
      <c r="E18" s="5" t="s">
        <v>66</v>
      </c>
    </row>
    <row r="20" spans="2:5" ht="37.5" customHeight="1" x14ac:dyDescent="0.25">
      <c r="B20" s="39" t="s">
        <v>67</v>
      </c>
      <c r="C20" s="39"/>
      <c r="D20" s="39"/>
      <c r="E20" s="39"/>
    </row>
  </sheetData>
  <mergeCells count="5">
    <mergeCell ref="B1:E1"/>
    <mergeCell ref="B2:E2"/>
    <mergeCell ref="B4:E4"/>
    <mergeCell ref="B12:E12"/>
    <mergeCell ref="B20:E2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22"/>
  <sheetViews>
    <sheetView showGridLines="0" zoomScaleNormal="100" workbookViewId="0">
      <selection activeCell="K10" sqref="K10"/>
    </sheetView>
  </sheetViews>
  <sheetFormatPr defaultColWidth="8.7109375" defaultRowHeight="15" x14ac:dyDescent="0.25"/>
  <cols>
    <col min="1" max="1" width="2" customWidth="1"/>
    <col min="2" max="2" width="22" customWidth="1"/>
    <col min="3" max="4" width="14" customWidth="1"/>
    <col min="5" max="5" width="22" customWidth="1"/>
    <col min="6" max="6" width="2" customWidth="1"/>
    <col min="7" max="7" width="36" customWidth="1"/>
  </cols>
  <sheetData>
    <row r="1" spans="2:11" ht="31.5" customHeight="1" x14ac:dyDescent="0.25">
      <c r="B1" s="40" t="s">
        <v>68</v>
      </c>
      <c r="C1" s="40"/>
      <c r="D1" s="40"/>
      <c r="E1" s="40"/>
    </row>
    <row r="2" spans="2:11" ht="25.5" customHeight="1" x14ac:dyDescent="0.25">
      <c r="B2" s="41" t="s">
        <v>69</v>
      </c>
      <c r="C2" s="41"/>
      <c r="D2" s="41"/>
      <c r="E2" s="41"/>
    </row>
    <row r="4" spans="2:11" ht="21.75" customHeight="1" x14ac:dyDescent="0.25">
      <c r="B4" s="42" t="s">
        <v>70</v>
      </c>
      <c r="C4" s="42"/>
      <c r="D4" s="42"/>
      <c r="E4" s="42"/>
    </row>
    <row r="5" spans="2:11" ht="25.5" customHeight="1" x14ac:dyDescent="0.25">
      <c r="B5" s="43" t="s">
        <v>71</v>
      </c>
      <c r="C5" s="43"/>
      <c r="D5" s="43"/>
      <c r="E5" s="43"/>
    </row>
    <row r="6" spans="2:11" ht="25.5" customHeight="1" x14ac:dyDescent="0.25">
      <c r="B6" s="48" t="s">
        <v>72</v>
      </c>
      <c r="C6" s="48"/>
      <c r="D6" s="48"/>
      <c r="E6" s="48"/>
    </row>
    <row r="8" spans="2:11" ht="21.75" customHeight="1" x14ac:dyDescent="0.25">
      <c r="B8" s="37" t="s">
        <v>73</v>
      </c>
      <c r="C8" s="37"/>
      <c r="D8" s="37"/>
      <c r="E8" s="37"/>
    </row>
    <row r="9" spans="2:11" x14ac:dyDescent="0.25">
      <c r="B9" s="6" t="s">
        <v>30</v>
      </c>
      <c r="C9" s="6" t="s">
        <v>74</v>
      </c>
      <c r="D9" s="6" t="s">
        <v>75</v>
      </c>
      <c r="E9" s="6" t="s">
        <v>76</v>
      </c>
    </row>
    <row r="10" spans="2:11" x14ac:dyDescent="0.25">
      <c r="B10" s="5" t="s">
        <v>34</v>
      </c>
      <c r="C10" s="7">
        <v>100</v>
      </c>
      <c r="D10" s="7">
        <v>120</v>
      </c>
      <c r="E10" s="13" t="str">
        <f>IF(D10&gt;=C10,"✅ Meta Atingida","❌ Abaixo da Meta")</f>
        <v>✅ Meta Atingida</v>
      </c>
      <c r="G10" t="str">
        <f>IF(D10&gt;=C10,"Aprovado","Reprovado")</f>
        <v>Aprovado</v>
      </c>
      <c r="H10" t="str">
        <f>IF(D10&gt;=C10*1.2,"Destaque",IF(D10&gt;=C10,"OK","atenção"))</f>
        <v>Destaque</v>
      </c>
      <c r="K10" t="str" cm="1">
        <f t="array" ref="K10">_xlfn.IFS(D10&gt;=C10*1.2,"Destaque",D10&gt;=C10,"Ok",D10&lt;C10,"Atenção")</f>
        <v>Destaque</v>
      </c>
    </row>
    <row r="11" spans="2:11" x14ac:dyDescent="0.25">
      <c r="B11" s="3" t="s">
        <v>36</v>
      </c>
      <c r="C11" s="8">
        <v>100</v>
      </c>
      <c r="D11" s="8">
        <v>85</v>
      </c>
      <c r="E11" s="14" t="str">
        <f>IF(D11&gt;=C11,"✅ Meta Atingida","❌ Abaixo da Meta")</f>
        <v>❌ Abaixo da Meta</v>
      </c>
      <c r="G11" t="str">
        <f t="shared" ref="G11:G13" si="0">IF(D11&gt;=C11,"Aprovado","Reprovado")</f>
        <v>Reprovado</v>
      </c>
      <c r="H11" t="str">
        <f t="shared" ref="H11:H13" si="1">IF(D11&gt;=C11*1.2,"Destaque",IF(D11&gt;=C11,"OK","atenção"))</f>
        <v>atenção</v>
      </c>
      <c r="K11" t="str" cm="1">
        <f t="array" ref="K11">_xlfn.IFS(D11&gt;=C11*1.2,"Destaque",D11&gt;=C11,"Ok",D11&lt;C11,"Atenção")</f>
        <v>Atenção</v>
      </c>
    </row>
    <row r="12" spans="2:11" x14ac:dyDescent="0.25">
      <c r="B12" s="5" t="s">
        <v>38</v>
      </c>
      <c r="C12" s="7">
        <v>150</v>
      </c>
      <c r="D12" s="7">
        <v>200</v>
      </c>
      <c r="E12" s="13" t="str">
        <f>IF(D12&gt;=C12,"✅ Meta Atingida","❌ Abaixo da Meta")</f>
        <v>✅ Meta Atingida</v>
      </c>
      <c r="G12" t="str">
        <f t="shared" si="0"/>
        <v>Aprovado</v>
      </c>
      <c r="H12" t="str">
        <f t="shared" si="1"/>
        <v>Destaque</v>
      </c>
      <c r="K12" t="str" cm="1">
        <f t="array" ref="K12">_xlfn.IFS(D12&gt;=C12*1.2,"Destaque",D12&gt;=C12,"Ok",D12&lt;C12,"Atenção")</f>
        <v>Destaque</v>
      </c>
    </row>
    <row r="13" spans="2:11" x14ac:dyDescent="0.25">
      <c r="B13" s="3" t="s">
        <v>39</v>
      </c>
      <c r="C13" s="8">
        <v>80</v>
      </c>
      <c r="D13" s="8">
        <v>60</v>
      </c>
      <c r="E13" s="14" t="str">
        <f>IF(D13&gt;=C13,"✅ Meta Atingida","❌ Abaixo da Meta")</f>
        <v>❌ Abaixo da Meta</v>
      </c>
      <c r="G13" t="str">
        <f t="shared" si="0"/>
        <v>Reprovado</v>
      </c>
      <c r="H13" t="str">
        <f t="shared" si="1"/>
        <v>atenção</v>
      </c>
      <c r="K13" t="str" cm="1">
        <f t="array" ref="K13">_xlfn.IFS(D13&gt;=C13*1.2,"Destaque",D13&gt;=C13,"Ok",D13&lt;C13,"Atenção")</f>
        <v>Atenção</v>
      </c>
    </row>
    <row r="15" spans="2:11" ht="21.75" customHeight="1" x14ac:dyDescent="0.25">
      <c r="B15" s="38" t="s">
        <v>77</v>
      </c>
      <c r="C15" s="38"/>
      <c r="D15" s="38"/>
      <c r="E15" s="38"/>
    </row>
    <row r="16" spans="2:11" ht="25.5" customHeight="1" x14ac:dyDescent="0.25">
      <c r="B16" s="47" t="s">
        <v>78</v>
      </c>
      <c r="C16" s="47"/>
      <c r="D16" s="47"/>
      <c r="E16" s="47"/>
    </row>
    <row r="17" spans="2:5" ht="25.5" customHeight="1" x14ac:dyDescent="0.25">
      <c r="B17" s="44" t="s">
        <v>79</v>
      </c>
      <c r="C17" s="44"/>
      <c r="D17" s="44"/>
      <c r="E17" s="44"/>
    </row>
    <row r="19" spans="2:5" ht="21.75" customHeight="1" x14ac:dyDescent="0.25">
      <c r="B19" s="37" t="s">
        <v>80</v>
      </c>
      <c r="C19" s="37"/>
      <c r="D19" s="37"/>
      <c r="E19" s="37"/>
    </row>
    <row r="20" spans="2:5" ht="25.5" customHeight="1" x14ac:dyDescent="0.25">
      <c r="B20" s="47" t="s">
        <v>81</v>
      </c>
      <c r="C20" s="47"/>
      <c r="D20" s="47"/>
      <c r="E20" s="47"/>
    </row>
    <row r="22" spans="2:5" ht="37.5" customHeight="1" x14ac:dyDescent="0.25">
      <c r="B22" s="39" t="s">
        <v>82</v>
      </c>
      <c r="C22" s="39"/>
      <c r="D22" s="39"/>
      <c r="E22" s="39"/>
    </row>
  </sheetData>
  <mergeCells count="12">
    <mergeCell ref="B1:E1"/>
    <mergeCell ref="B2:E2"/>
    <mergeCell ref="B4:E4"/>
    <mergeCell ref="B5:E5"/>
    <mergeCell ref="B6:E6"/>
    <mergeCell ref="B20:E20"/>
    <mergeCell ref="B22:E22"/>
    <mergeCell ref="B8:E8"/>
    <mergeCell ref="B15:E15"/>
    <mergeCell ref="B16:E16"/>
    <mergeCell ref="B17:E17"/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6"/>
  <sheetViews>
    <sheetView showGridLines="0" topLeftCell="A2" zoomScaleNormal="100" workbookViewId="0">
      <selection activeCell="K7" sqref="K7"/>
    </sheetView>
  </sheetViews>
  <sheetFormatPr defaultColWidth="8.7109375" defaultRowHeight="15" x14ac:dyDescent="0.25"/>
  <cols>
    <col min="1" max="1" width="2" customWidth="1"/>
    <col min="2" max="2" width="22" customWidth="1"/>
    <col min="3" max="5" width="14" customWidth="1"/>
    <col min="6" max="6" width="2" customWidth="1"/>
    <col min="7" max="7" width="40" customWidth="1"/>
  </cols>
  <sheetData>
    <row r="1" spans="2:11" ht="31.5" customHeight="1" x14ac:dyDescent="0.25">
      <c r="B1" s="40" t="s">
        <v>83</v>
      </c>
      <c r="C1" s="40"/>
      <c r="D1" s="40"/>
      <c r="E1" s="40"/>
    </row>
    <row r="2" spans="2:11" ht="25.5" customHeight="1" x14ac:dyDescent="0.25">
      <c r="B2" s="41" t="s">
        <v>84</v>
      </c>
      <c r="C2" s="41"/>
      <c r="D2" s="41"/>
      <c r="E2" s="41"/>
    </row>
    <row r="4" spans="2:11" ht="21.75" customHeight="1" x14ac:dyDescent="0.25">
      <c r="B4" s="37" t="s">
        <v>85</v>
      </c>
      <c r="C4" s="37"/>
      <c r="D4" s="37"/>
      <c r="E4" s="37"/>
    </row>
    <row r="5" spans="2:11" x14ac:dyDescent="0.25">
      <c r="B5" s="6" t="s">
        <v>86</v>
      </c>
      <c r="C5" s="6" t="s">
        <v>31</v>
      </c>
      <c r="D5" s="6" t="s">
        <v>87</v>
      </c>
      <c r="E5" s="6" t="s">
        <v>33</v>
      </c>
    </row>
    <row r="6" spans="2:11" x14ac:dyDescent="0.25">
      <c r="B6" s="5" t="s">
        <v>88</v>
      </c>
      <c r="C6" s="5" t="s">
        <v>35</v>
      </c>
      <c r="D6" s="7">
        <v>120</v>
      </c>
      <c r="E6" s="7">
        <v>3600</v>
      </c>
      <c r="G6">
        <f>SUMIF(B6:B11,B6,D6:D11)</f>
        <v>415</v>
      </c>
      <c r="H6">
        <f>SUMIF(C6:C11,C6,E6:E11)</f>
        <v>9450</v>
      </c>
      <c r="I6">
        <f>SUMIFS(E6:E11,B6:B11,B6,C6:C11,C6)</f>
        <v>6450</v>
      </c>
      <c r="J6">
        <f>SUMIFS(D6:D11,B6:B11,B6,C6:C11,C6)</f>
        <v>215</v>
      </c>
      <c r="K6">
        <f>COUNTIF(B6:B11,B6)</f>
        <v>3</v>
      </c>
    </row>
    <row r="7" spans="2:11" x14ac:dyDescent="0.25">
      <c r="B7" s="3" t="s">
        <v>38</v>
      </c>
      <c r="C7" s="3" t="s">
        <v>37</v>
      </c>
      <c r="D7" s="8">
        <v>85</v>
      </c>
      <c r="E7" s="8">
        <v>2550</v>
      </c>
    </row>
    <row r="8" spans="2:11" x14ac:dyDescent="0.25">
      <c r="B8" s="5" t="s">
        <v>88</v>
      </c>
      <c r="C8" s="5" t="s">
        <v>37</v>
      </c>
      <c r="D8" s="7">
        <v>200</v>
      </c>
      <c r="E8" s="7">
        <v>6000</v>
      </c>
    </row>
    <row r="9" spans="2:11" x14ac:dyDescent="0.25">
      <c r="B9" s="3" t="s">
        <v>39</v>
      </c>
      <c r="C9" s="3" t="s">
        <v>35</v>
      </c>
      <c r="D9" s="8">
        <v>60</v>
      </c>
      <c r="E9" s="8">
        <v>1800</v>
      </c>
    </row>
    <row r="10" spans="2:11" x14ac:dyDescent="0.25">
      <c r="B10" s="5" t="s">
        <v>88</v>
      </c>
      <c r="C10" s="5" t="s">
        <v>35</v>
      </c>
      <c r="D10" s="7">
        <v>95</v>
      </c>
      <c r="E10" s="7">
        <v>2850</v>
      </c>
    </row>
    <row r="11" spans="2:11" x14ac:dyDescent="0.25">
      <c r="B11" s="3" t="s">
        <v>38</v>
      </c>
      <c r="C11" s="3" t="s">
        <v>35</v>
      </c>
      <c r="D11" s="8">
        <v>40</v>
      </c>
      <c r="E11" s="8">
        <v>1200</v>
      </c>
    </row>
    <row r="13" spans="2:11" ht="21.75" customHeight="1" x14ac:dyDescent="0.25">
      <c r="B13" s="38" t="s">
        <v>89</v>
      </c>
      <c r="C13" s="38"/>
      <c r="D13" s="38"/>
      <c r="E13" s="38"/>
    </row>
    <row r="14" spans="2:11" x14ac:dyDescent="0.25">
      <c r="B14" s="6" t="s">
        <v>90</v>
      </c>
      <c r="C14" s="6" t="s">
        <v>91</v>
      </c>
      <c r="D14" s="6" t="s">
        <v>92</v>
      </c>
      <c r="E14" s="6" t="s">
        <v>93</v>
      </c>
    </row>
    <row r="15" spans="2:11" ht="36" x14ac:dyDescent="0.25">
      <c r="B15" s="3" t="s">
        <v>94</v>
      </c>
      <c r="C15" s="8" t="s">
        <v>95</v>
      </c>
      <c r="D15" s="12" t="s">
        <v>96</v>
      </c>
      <c r="E15" s="3" t="s">
        <v>97</v>
      </c>
    </row>
    <row r="16" spans="2:11" ht="36" x14ac:dyDescent="0.25">
      <c r="B16" s="5" t="s">
        <v>98</v>
      </c>
      <c r="C16" s="7" t="s">
        <v>99</v>
      </c>
      <c r="D16" s="10" t="s">
        <v>100</v>
      </c>
      <c r="E16" s="5" t="s">
        <v>101</v>
      </c>
    </row>
    <row r="18" spans="2:5" ht="21.75" customHeight="1" x14ac:dyDescent="0.25">
      <c r="B18" s="42" t="s">
        <v>102</v>
      </c>
      <c r="C18" s="42"/>
      <c r="D18" s="42"/>
      <c r="E18" s="42"/>
    </row>
    <row r="19" spans="2:5" x14ac:dyDescent="0.25">
      <c r="B19" s="6" t="s">
        <v>90</v>
      </c>
      <c r="C19" s="6" t="s">
        <v>103</v>
      </c>
      <c r="D19" s="6" t="s">
        <v>92</v>
      </c>
      <c r="E19" s="6" t="s">
        <v>93</v>
      </c>
    </row>
    <row r="20" spans="2:5" ht="48" x14ac:dyDescent="0.25">
      <c r="B20" s="3" t="s">
        <v>104</v>
      </c>
      <c r="C20" s="8" t="s">
        <v>105</v>
      </c>
      <c r="D20" s="12" t="s">
        <v>106</v>
      </c>
      <c r="E20" s="3" t="s">
        <v>107</v>
      </c>
    </row>
    <row r="22" spans="2:5" ht="21.75" customHeight="1" x14ac:dyDescent="0.25">
      <c r="B22" s="37" t="s">
        <v>108</v>
      </c>
      <c r="C22" s="37"/>
      <c r="D22" s="37"/>
      <c r="E22" s="37"/>
    </row>
    <row r="23" spans="2:5" x14ac:dyDescent="0.25">
      <c r="B23" s="6" t="s">
        <v>90</v>
      </c>
      <c r="C23" s="6" t="s">
        <v>91</v>
      </c>
      <c r="D23" s="6" t="s">
        <v>92</v>
      </c>
      <c r="E23" s="6" t="s">
        <v>93</v>
      </c>
    </row>
    <row r="24" spans="2:5" ht="24" x14ac:dyDescent="0.25">
      <c r="B24" s="5" t="s">
        <v>109</v>
      </c>
      <c r="C24" s="7" t="s">
        <v>95</v>
      </c>
      <c r="D24" s="10" t="s">
        <v>110</v>
      </c>
      <c r="E24" s="5" t="s">
        <v>111</v>
      </c>
    </row>
    <row r="26" spans="2:5" ht="37.5" customHeight="1" x14ac:dyDescent="0.25">
      <c r="B26" s="39" t="s">
        <v>112</v>
      </c>
      <c r="C26" s="39"/>
      <c r="D26" s="39"/>
      <c r="E26" s="39"/>
    </row>
  </sheetData>
  <mergeCells count="7">
    <mergeCell ref="B22:E22"/>
    <mergeCell ref="B26:E26"/>
    <mergeCell ref="B1:E1"/>
    <mergeCell ref="B2:E2"/>
    <mergeCell ref="B4:E4"/>
    <mergeCell ref="B13:E13"/>
    <mergeCell ref="B18:E1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23"/>
  <sheetViews>
    <sheetView showGridLines="0" zoomScaleNormal="100" workbookViewId="0">
      <selection activeCell="G23" sqref="G23"/>
    </sheetView>
  </sheetViews>
  <sheetFormatPr defaultColWidth="8.7109375" defaultRowHeight="15" x14ac:dyDescent="0.25"/>
  <cols>
    <col min="1" max="1" width="2" customWidth="1"/>
    <col min="2" max="3" width="22" customWidth="1"/>
    <col min="4" max="4" width="26" customWidth="1"/>
    <col min="5" max="5" width="24" customWidth="1"/>
    <col min="6" max="6" width="2" customWidth="1"/>
    <col min="7" max="7" width="36" customWidth="1"/>
  </cols>
  <sheetData>
    <row r="1" spans="2:8" ht="31.5" customHeight="1" x14ac:dyDescent="0.25">
      <c r="B1" s="40" t="s">
        <v>149</v>
      </c>
      <c r="C1" s="40"/>
      <c r="D1" s="40"/>
      <c r="E1" s="40"/>
    </row>
    <row r="2" spans="2:8" ht="25.5" customHeight="1" x14ac:dyDescent="0.25">
      <c r="B2" s="41" t="s">
        <v>150</v>
      </c>
      <c r="C2" s="41"/>
      <c r="D2" s="41"/>
      <c r="E2" s="41"/>
    </row>
    <row r="4" spans="2:8" ht="21.75" customHeight="1" x14ac:dyDescent="0.25">
      <c r="B4" s="37" t="s">
        <v>151</v>
      </c>
      <c r="C4" s="37"/>
      <c r="D4" s="37"/>
      <c r="E4" s="37"/>
    </row>
    <row r="5" spans="2:8" x14ac:dyDescent="0.25">
      <c r="B5" s="6" t="s">
        <v>43</v>
      </c>
      <c r="C5" s="6" t="s">
        <v>152</v>
      </c>
      <c r="D5" s="6" t="s">
        <v>92</v>
      </c>
      <c r="E5" s="6" t="s">
        <v>153</v>
      </c>
    </row>
    <row r="6" spans="2:8" ht="24" x14ac:dyDescent="0.25">
      <c r="B6" s="17" t="s">
        <v>154</v>
      </c>
      <c r="C6" s="5" t="s">
        <v>155</v>
      </c>
      <c r="D6" s="10" t="s">
        <v>156</v>
      </c>
      <c r="E6" s="5" t="s">
        <v>157</v>
      </c>
      <c r="G6" t="str">
        <f>LEFT("Rafael Dutra",4)</f>
        <v>Rafa</v>
      </c>
    </row>
    <row r="7" spans="2:8" x14ac:dyDescent="0.25">
      <c r="B7" s="18" t="s">
        <v>158</v>
      </c>
      <c r="C7" s="3" t="s">
        <v>124</v>
      </c>
      <c r="D7" s="12" t="s">
        <v>159</v>
      </c>
      <c r="E7" s="3" t="s">
        <v>160</v>
      </c>
      <c r="G7" t="str">
        <f>RIGHT("Rafael",2)</f>
        <v>el</v>
      </c>
    </row>
    <row r="8" spans="2:8" x14ac:dyDescent="0.25">
      <c r="B8" s="17" t="s">
        <v>161</v>
      </c>
      <c r="C8" s="5" t="s">
        <v>162</v>
      </c>
      <c r="D8" s="10" t="s">
        <v>163</v>
      </c>
      <c r="E8" s="5" t="s">
        <v>164</v>
      </c>
      <c r="G8" t="str">
        <f>MID("recife-PE",8,2)</f>
        <v>PE</v>
      </c>
    </row>
    <row r="9" spans="2:8" x14ac:dyDescent="0.25">
      <c r="B9" s="18" t="s">
        <v>165</v>
      </c>
      <c r="C9" s="3" t="s">
        <v>166</v>
      </c>
      <c r="D9" s="12" t="s">
        <v>167</v>
      </c>
      <c r="E9" s="3" t="s">
        <v>168</v>
      </c>
      <c r="G9" t="str">
        <f>_xlfn.CONCAT("Rafael"&amp;" "&amp;"Andrade")</f>
        <v>Rafael Andrade</v>
      </c>
    </row>
    <row r="10" spans="2:8" x14ac:dyDescent="0.25">
      <c r="B10" s="17" t="s">
        <v>169</v>
      </c>
      <c r="C10" s="5" t="s">
        <v>170</v>
      </c>
      <c r="D10" s="10" t="s">
        <v>171</v>
      </c>
      <c r="E10" s="5" t="s">
        <v>172</v>
      </c>
    </row>
    <row r="11" spans="2:8" ht="24" x14ac:dyDescent="0.25">
      <c r="B11" s="18" t="s">
        <v>173</v>
      </c>
      <c r="C11" s="3" t="s">
        <v>174</v>
      </c>
      <c r="D11" s="12" t="s">
        <v>175</v>
      </c>
      <c r="E11" s="3" t="s">
        <v>176</v>
      </c>
      <c r="G11" t="str">
        <f>UPPER("postp venda")</f>
        <v>POSTP VENDA</v>
      </c>
      <c r="H11" t="str">
        <f>PROPER("rafa dutra")</f>
        <v>Rafa Dutra</v>
      </c>
    </row>
    <row r="12" spans="2:8" x14ac:dyDescent="0.25">
      <c r="B12" s="17" t="s">
        <v>177</v>
      </c>
      <c r="C12" s="5" t="s">
        <v>178</v>
      </c>
      <c r="D12" s="10" t="s">
        <v>179</v>
      </c>
      <c r="E12" s="5" t="s">
        <v>180</v>
      </c>
      <c r="G12">
        <f>LEN("Recife")</f>
        <v>6</v>
      </c>
    </row>
    <row r="14" spans="2:8" ht="21.75" customHeight="1" x14ac:dyDescent="0.25">
      <c r="B14" s="38" t="s">
        <v>181</v>
      </c>
      <c r="C14" s="38"/>
      <c r="D14" s="38"/>
      <c r="E14" s="38"/>
    </row>
    <row r="15" spans="2:8" x14ac:dyDescent="0.25">
      <c r="B15" s="6" t="s">
        <v>43</v>
      </c>
      <c r="C15" s="6" t="s">
        <v>93</v>
      </c>
      <c r="D15" s="6" t="s">
        <v>92</v>
      </c>
      <c r="E15" s="6" t="s">
        <v>182</v>
      </c>
    </row>
    <row r="16" spans="2:8" x14ac:dyDescent="0.25">
      <c r="B16" s="17" t="s">
        <v>183</v>
      </c>
      <c r="C16" s="5" t="s">
        <v>184</v>
      </c>
      <c r="D16" s="10" t="s">
        <v>185</v>
      </c>
      <c r="E16" s="5" t="s">
        <v>186</v>
      </c>
      <c r="G16" s="23">
        <f ca="1">TODAY()</f>
        <v>46104</v>
      </c>
    </row>
    <row r="17" spans="2:10" x14ac:dyDescent="0.25">
      <c r="B17" s="18" t="s">
        <v>187</v>
      </c>
      <c r="C17" s="3" t="s">
        <v>188</v>
      </c>
      <c r="D17" s="12" t="s">
        <v>189</v>
      </c>
      <c r="E17" s="3" t="s">
        <v>190</v>
      </c>
      <c r="G17" s="24">
        <f ca="1">NOW()</f>
        <v>46104.98924490741</v>
      </c>
    </row>
    <row r="18" spans="2:10" ht="24" x14ac:dyDescent="0.25">
      <c r="B18" s="17" t="s">
        <v>191</v>
      </c>
      <c r="C18" s="5" t="s">
        <v>192</v>
      </c>
      <c r="D18" s="10" t="s">
        <v>193</v>
      </c>
      <c r="E18" s="5" t="s">
        <v>194</v>
      </c>
    </row>
    <row r="19" spans="2:10" x14ac:dyDescent="0.25">
      <c r="B19" s="18" t="s">
        <v>195</v>
      </c>
      <c r="C19" s="3" t="s">
        <v>196</v>
      </c>
      <c r="D19" s="12" t="s">
        <v>197</v>
      </c>
      <c r="E19" s="3" t="s">
        <v>198</v>
      </c>
      <c r="G19">
        <f ca="1">_xlfn.DAYS("31/12/2026",TODAY())</f>
        <v>283</v>
      </c>
    </row>
    <row r="20" spans="2:10" x14ac:dyDescent="0.25">
      <c r="B20" s="17" t="s">
        <v>199</v>
      </c>
      <c r="C20" s="5" t="s">
        <v>200</v>
      </c>
      <c r="D20" s="10" t="s">
        <v>201</v>
      </c>
      <c r="E20" s="5" t="s">
        <v>202</v>
      </c>
      <c r="G20">
        <f ca="1">DAY(TODAY())</f>
        <v>23</v>
      </c>
      <c r="H20">
        <f ca="1">MONTH(TODAY())</f>
        <v>3</v>
      </c>
      <c r="I20">
        <f ca="1">YEAR(TODAY())</f>
        <v>2026</v>
      </c>
      <c r="J20">
        <f>YEAR("27/04/1996")</f>
        <v>1996</v>
      </c>
    </row>
    <row r="21" spans="2:10" ht="24" x14ac:dyDescent="0.25">
      <c r="B21" s="18" t="s">
        <v>203</v>
      </c>
      <c r="C21" s="3" t="s">
        <v>204</v>
      </c>
      <c r="D21" s="12" t="s">
        <v>205</v>
      </c>
      <c r="E21" s="3" t="s">
        <v>206</v>
      </c>
      <c r="G21">
        <f ca="1">WEEKDAY(TODAY())</f>
        <v>2</v>
      </c>
    </row>
    <row r="23" spans="2:10" ht="37.5" customHeight="1" x14ac:dyDescent="0.25">
      <c r="B23" s="39" t="s">
        <v>207</v>
      </c>
      <c r="C23" s="39"/>
      <c r="D23" s="39"/>
      <c r="E23" s="39"/>
      <c r="G23" s="25"/>
    </row>
  </sheetData>
  <mergeCells count="5">
    <mergeCell ref="B1:E1"/>
    <mergeCell ref="B2:E2"/>
    <mergeCell ref="B4:E4"/>
    <mergeCell ref="B14:E14"/>
    <mergeCell ref="B23:E2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R22"/>
  <sheetViews>
    <sheetView showGridLines="0" topLeftCell="A2" zoomScaleNormal="100" workbookViewId="0">
      <selection activeCell="M10" sqref="M10"/>
    </sheetView>
  </sheetViews>
  <sheetFormatPr defaultColWidth="8.7109375" defaultRowHeight="15" x14ac:dyDescent="0.25"/>
  <cols>
    <col min="1" max="1" width="2" customWidth="1"/>
    <col min="2" max="2" width="16" customWidth="1"/>
    <col min="3" max="3" width="18" customWidth="1"/>
    <col min="4" max="4" width="14" customWidth="1"/>
    <col min="5" max="5" width="2" customWidth="1"/>
    <col min="6" max="7" width="14" customWidth="1"/>
    <col min="8" max="8" width="22" customWidth="1"/>
    <col min="9" max="9" width="2" customWidth="1"/>
    <col min="10" max="10" width="30" customWidth="1"/>
  </cols>
  <sheetData>
    <row r="1" spans="2:18" ht="31.5" customHeight="1" x14ac:dyDescent="0.25">
      <c r="B1" s="40" t="s">
        <v>113</v>
      </c>
      <c r="C1" s="40"/>
      <c r="D1" s="40"/>
    </row>
    <row r="2" spans="2:18" ht="25.5" customHeight="1" x14ac:dyDescent="0.25">
      <c r="B2" s="41" t="s">
        <v>114</v>
      </c>
      <c r="C2" s="41"/>
      <c r="D2" s="41"/>
    </row>
    <row r="4" spans="2:18" ht="21.75" customHeight="1" x14ac:dyDescent="0.25">
      <c r="B4" s="42" t="s">
        <v>70</v>
      </c>
      <c r="C4" s="42"/>
      <c r="D4" s="42"/>
    </row>
    <row r="5" spans="2:18" ht="25.5" customHeight="1" x14ac:dyDescent="0.25">
      <c r="B5" s="43" t="s">
        <v>115</v>
      </c>
      <c r="C5" s="43"/>
      <c r="D5" s="43"/>
    </row>
    <row r="6" spans="2:18" ht="27.75" customHeight="1" x14ac:dyDescent="0.25">
      <c r="B6" s="53" t="s">
        <v>116</v>
      </c>
      <c r="C6" s="53"/>
      <c r="D6" s="53"/>
    </row>
    <row r="8" spans="2:18" ht="21.75" customHeight="1" x14ac:dyDescent="0.25">
      <c r="B8" s="37" t="s">
        <v>117</v>
      </c>
      <c r="C8" s="37"/>
      <c r="D8" s="37"/>
      <c r="F8" s="37" t="s">
        <v>118</v>
      </c>
      <c r="G8" s="37"/>
      <c r="H8" s="37"/>
    </row>
    <row r="9" spans="2:18" x14ac:dyDescent="0.25">
      <c r="B9" s="6" t="s">
        <v>119</v>
      </c>
      <c r="C9" s="6" t="s">
        <v>31</v>
      </c>
      <c r="D9" s="6" t="s">
        <v>120</v>
      </c>
      <c r="F9" s="6" t="s">
        <v>121</v>
      </c>
      <c r="G9" s="6" t="s">
        <v>122</v>
      </c>
      <c r="H9" s="6" t="s">
        <v>123</v>
      </c>
      <c r="J9" s="26" t="s">
        <v>266</v>
      </c>
      <c r="K9" s="26" t="s">
        <v>267</v>
      </c>
      <c r="L9" s="26" t="s">
        <v>268</v>
      </c>
      <c r="M9" s="49" t="s">
        <v>269</v>
      </c>
      <c r="N9" s="50"/>
      <c r="O9" s="50"/>
      <c r="P9" s="50" t="s">
        <v>269</v>
      </c>
      <c r="Q9" s="50"/>
      <c r="R9" s="50"/>
    </row>
    <row r="10" spans="2:18" x14ac:dyDescent="0.25">
      <c r="B10" s="9" t="s">
        <v>124</v>
      </c>
      <c r="C10" s="5" t="s">
        <v>125</v>
      </c>
      <c r="D10" s="7">
        <v>8.5</v>
      </c>
      <c r="F10" s="9" t="s">
        <v>126</v>
      </c>
      <c r="G10" s="7">
        <v>50</v>
      </c>
      <c r="H10" s="13">
        <f>VLOOKUP(F10,$B$10:$D$13,3,0)</f>
        <v>2.5</v>
      </c>
      <c r="J10">
        <f>VLOOKUP(F10,$B$10:$D$13,3,TRUE)</f>
        <v>2.5</v>
      </c>
      <c r="K10">
        <f>_xlfn.XLOOKUP(F10,$B$10:$B$13,$D$10:$D$13,"nao tem",0)</f>
        <v>2.5</v>
      </c>
      <c r="M10" t="str" cm="1">
        <f t="array" ref="M10:O11">_xlfn._xlws.FILTER(F10:H12,G10:G12&gt;20,"Nenhum resultado")</f>
        <v>SKU-003</v>
      </c>
      <c r="N10">
        <v>50</v>
      </c>
      <c r="O10">
        <v>2.5</v>
      </c>
      <c r="P10" t="str" cm="1">
        <f t="array" ref="P10:R12">_xlfn._xlws.FILTER(B10:D13,D10:D13&gt;3,"Nenhum valor")</f>
        <v>SKU-001</v>
      </c>
      <c r="Q10" t="str">
        <v>Refrigerante 2L</v>
      </c>
      <c r="R10">
        <v>8.5</v>
      </c>
    </row>
    <row r="11" spans="2:18" x14ac:dyDescent="0.25">
      <c r="B11" s="11" t="s">
        <v>127</v>
      </c>
      <c r="C11" s="3" t="s">
        <v>128</v>
      </c>
      <c r="D11" s="8">
        <v>5</v>
      </c>
      <c r="F11" s="11" t="s">
        <v>124</v>
      </c>
      <c r="G11" s="8">
        <v>30</v>
      </c>
      <c r="H11" s="14">
        <f>VLOOKUP(F11,$B$10:$D$13,3,0)</f>
        <v>8.5</v>
      </c>
      <c r="J11">
        <f t="shared" ref="J11:J12" si="0">VLOOKUP(F11,$B$10:$D$13,3,TRUE)</f>
        <v>8.5</v>
      </c>
      <c r="K11">
        <f t="shared" ref="K11:K12" si="1">_xlfn.XLOOKUP(F11,$B$10:$B$13,$D$10:$D$13,"nao tem",0)</f>
        <v>8.5</v>
      </c>
      <c r="M11" t="str">
        <v>SKU-001</v>
      </c>
      <c r="N11">
        <v>30</v>
      </c>
      <c r="O11">
        <v>8.5</v>
      </c>
      <c r="P11" t="str">
        <v>SKU-002</v>
      </c>
      <c r="Q11" t="str">
        <v>Suco Natural 1L</v>
      </c>
      <c r="R11">
        <v>5</v>
      </c>
    </row>
    <row r="12" spans="2:18" x14ac:dyDescent="0.25">
      <c r="B12" s="9" t="s">
        <v>126</v>
      </c>
      <c r="C12" s="5" t="s">
        <v>129</v>
      </c>
      <c r="D12" s="7">
        <v>2.5</v>
      </c>
      <c r="F12" s="9" t="s">
        <v>130</v>
      </c>
      <c r="G12" s="7">
        <v>20</v>
      </c>
      <c r="H12" s="13">
        <f>VLOOKUP(F12,$B$10:$D$13,3,0)</f>
        <v>6</v>
      </c>
      <c r="J12">
        <f t="shared" si="0"/>
        <v>6</v>
      </c>
      <c r="K12">
        <f t="shared" si="1"/>
        <v>6</v>
      </c>
      <c r="P12" t="str">
        <v>SKU-004</v>
      </c>
      <c r="Q12" t="str">
        <v>Isotônico 1L</v>
      </c>
      <c r="R12">
        <v>6</v>
      </c>
    </row>
    <row r="13" spans="2:18" x14ac:dyDescent="0.25">
      <c r="B13" s="11" t="s">
        <v>130</v>
      </c>
      <c r="C13" s="3" t="s">
        <v>131</v>
      </c>
      <c r="D13" s="8">
        <v>6</v>
      </c>
    </row>
    <row r="15" spans="2:18" ht="21.75" customHeight="1" x14ac:dyDescent="0.25">
      <c r="B15" s="37" t="s">
        <v>132</v>
      </c>
      <c r="C15" s="37"/>
      <c r="D15" s="37"/>
      <c r="E15" s="37"/>
      <c r="F15" s="37"/>
      <c r="G15" s="37"/>
      <c r="J15" s="28" t="s">
        <v>268</v>
      </c>
      <c r="K15" s="52"/>
      <c r="L15" s="52"/>
      <c r="M15" s="52"/>
    </row>
    <row r="16" spans="2:18" x14ac:dyDescent="0.25">
      <c r="B16" s="6" t="s">
        <v>133</v>
      </c>
      <c r="C16" s="6" t="s">
        <v>134</v>
      </c>
      <c r="D16" s="6" t="s">
        <v>135</v>
      </c>
      <c r="H16" s="30" t="s">
        <v>270</v>
      </c>
      <c r="J16" s="29">
        <f>_xlfn.AGGREGATE(9,5,G10:G12)</f>
        <v>100</v>
      </c>
      <c r="K16" s="51"/>
      <c r="L16" s="51"/>
      <c r="M16" s="51"/>
    </row>
    <row r="17" spans="2:10" ht="24" x14ac:dyDescent="0.25">
      <c r="B17" s="15" t="s">
        <v>136</v>
      </c>
      <c r="C17" s="11" t="s">
        <v>137</v>
      </c>
      <c r="D17" s="3" t="s">
        <v>138</v>
      </c>
      <c r="H17" s="31" t="s">
        <v>271</v>
      </c>
      <c r="J17" s="32">
        <f>_xlfn.AGGREGATE(1,4,D10:D13)</f>
        <v>5.5</v>
      </c>
    </row>
    <row r="18" spans="2:10" ht="36" x14ac:dyDescent="0.25">
      <c r="B18" s="16" t="s">
        <v>139</v>
      </c>
      <c r="C18" s="9" t="s">
        <v>140</v>
      </c>
      <c r="D18" s="5" t="s">
        <v>141</v>
      </c>
    </row>
    <row r="19" spans="2:10" ht="36" x14ac:dyDescent="0.25">
      <c r="B19" s="15" t="s">
        <v>142</v>
      </c>
      <c r="C19" s="11" t="s">
        <v>143</v>
      </c>
      <c r="D19" s="3" t="s">
        <v>144</v>
      </c>
    </row>
    <row r="20" spans="2:10" ht="36" x14ac:dyDescent="0.25">
      <c r="B20" s="16" t="s">
        <v>145</v>
      </c>
      <c r="C20" s="9" t="s">
        <v>146</v>
      </c>
      <c r="D20" s="5" t="s">
        <v>147</v>
      </c>
    </row>
    <row r="22" spans="2:10" ht="37.5" customHeight="1" x14ac:dyDescent="0.25">
      <c r="B22" s="39" t="s">
        <v>148</v>
      </c>
      <c r="C22" s="39"/>
      <c r="D22" s="39"/>
      <c r="E22" s="39"/>
      <c r="F22" s="39"/>
      <c r="G22" s="39"/>
    </row>
  </sheetData>
  <mergeCells count="13">
    <mergeCell ref="B22:G22"/>
    <mergeCell ref="B1:D1"/>
    <mergeCell ref="B2:D2"/>
    <mergeCell ref="B4:D4"/>
    <mergeCell ref="B5:D5"/>
    <mergeCell ref="B6:D6"/>
    <mergeCell ref="M9:O9"/>
    <mergeCell ref="P9:R9"/>
    <mergeCell ref="K16:M16"/>
    <mergeCell ref="K15:M15"/>
    <mergeCell ref="B8:D8"/>
    <mergeCell ref="F8:H8"/>
    <mergeCell ref="B15:G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27"/>
  <sheetViews>
    <sheetView showGridLines="0" topLeftCell="A6" zoomScaleNormal="100" workbookViewId="0">
      <selection activeCell="G28" sqref="G28"/>
    </sheetView>
  </sheetViews>
  <sheetFormatPr defaultColWidth="8.7109375" defaultRowHeight="15" x14ac:dyDescent="0.25"/>
  <cols>
    <col min="1" max="1" width="2" customWidth="1"/>
    <col min="2" max="2" width="20" customWidth="1"/>
    <col min="3" max="5" width="14" customWidth="1"/>
    <col min="6" max="6" width="2" customWidth="1"/>
    <col min="7" max="7" width="44.7109375" bestFit="1" customWidth="1"/>
  </cols>
  <sheetData>
    <row r="1" spans="2:10" ht="31.5" customHeight="1" x14ac:dyDescent="0.25">
      <c r="B1" s="40" t="s">
        <v>208</v>
      </c>
      <c r="C1" s="40"/>
      <c r="D1" s="40"/>
      <c r="E1" s="40"/>
    </row>
    <row r="2" spans="2:10" ht="25.5" customHeight="1" x14ac:dyDescent="0.25">
      <c r="B2" s="41" t="s">
        <v>209</v>
      </c>
      <c r="C2" s="41"/>
      <c r="D2" s="41"/>
      <c r="E2" s="41"/>
    </row>
    <row r="4" spans="2:10" ht="21.75" customHeight="1" x14ac:dyDescent="0.25">
      <c r="B4" s="42" t="s">
        <v>70</v>
      </c>
      <c r="C4" s="42"/>
      <c r="D4" s="42"/>
      <c r="E4" s="42"/>
    </row>
    <row r="5" spans="2:10" ht="25.5" customHeight="1" x14ac:dyDescent="0.25">
      <c r="B5" s="43" t="s">
        <v>210</v>
      </c>
      <c r="C5" s="43"/>
      <c r="D5" s="43"/>
      <c r="E5" s="43"/>
    </row>
    <row r="6" spans="2:10" ht="27.75" customHeight="1" x14ac:dyDescent="0.25">
      <c r="B6" s="44" t="s">
        <v>211</v>
      </c>
      <c r="C6" s="44"/>
      <c r="D6" s="44"/>
      <c r="E6" s="44"/>
    </row>
    <row r="8" spans="2:10" ht="21.75" customHeight="1" x14ac:dyDescent="0.25">
      <c r="B8" s="37" t="s">
        <v>212</v>
      </c>
      <c r="C8" s="37"/>
      <c r="D8" s="37"/>
      <c r="E8" s="37"/>
    </row>
    <row r="9" spans="2:10" x14ac:dyDescent="0.25">
      <c r="B9" s="6" t="s">
        <v>31</v>
      </c>
      <c r="C9" s="6" t="s">
        <v>119</v>
      </c>
      <c r="D9" s="6" t="s">
        <v>120</v>
      </c>
      <c r="E9" s="6" t="s">
        <v>213</v>
      </c>
      <c r="G9" s="33" t="s">
        <v>272</v>
      </c>
    </row>
    <row r="10" spans="2:10" x14ac:dyDescent="0.25">
      <c r="B10" s="5" t="s">
        <v>125</v>
      </c>
      <c r="C10" s="9" t="s">
        <v>124</v>
      </c>
      <c r="D10" s="7">
        <v>8.5</v>
      </c>
      <c r="E10" s="7">
        <v>300</v>
      </c>
      <c r="G10" s="27" t="str" cm="1">
        <f t="array" ref="G10:J11">_xlfn._xlws.FILTER(B10:E13,E10:E13&gt;200,"cell empty")</f>
        <v>Refrigerante 2L</v>
      </c>
      <c r="H10" t="str">
        <v>SKU-001</v>
      </c>
      <c r="I10">
        <v>8.5</v>
      </c>
      <c r="J10">
        <v>300</v>
      </c>
    </row>
    <row r="11" spans="2:10" x14ac:dyDescent="0.25">
      <c r="B11" s="3" t="s">
        <v>128</v>
      </c>
      <c r="C11" s="11" t="s">
        <v>127</v>
      </c>
      <c r="D11" s="8">
        <v>5</v>
      </c>
      <c r="E11" s="8">
        <v>150</v>
      </c>
      <c r="G11" s="27" t="str">
        <v>Água Mineral</v>
      </c>
      <c r="H11" t="str">
        <v>SKU-003</v>
      </c>
      <c r="I11">
        <v>2.5</v>
      </c>
      <c r="J11">
        <v>500</v>
      </c>
    </row>
    <row r="12" spans="2:10" x14ac:dyDescent="0.25">
      <c r="B12" s="5" t="s">
        <v>214</v>
      </c>
      <c r="C12" s="9" t="s">
        <v>126</v>
      </c>
      <c r="D12" s="7">
        <v>2.5</v>
      </c>
      <c r="E12" s="7">
        <v>500</v>
      </c>
    </row>
    <row r="13" spans="2:10" x14ac:dyDescent="0.25">
      <c r="B13" s="3" t="s">
        <v>131</v>
      </c>
      <c r="C13" s="11" t="s">
        <v>130</v>
      </c>
      <c r="D13" s="8">
        <v>6</v>
      </c>
      <c r="E13" s="8">
        <v>200</v>
      </c>
      <c r="G13" s="34" t="s">
        <v>273</v>
      </c>
    </row>
    <row r="14" spans="2:10" x14ac:dyDescent="0.25">
      <c r="G14" s="27" cm="1">
        <f t="array" ref="G14">SUM(_xlfn._xlws.FILTER(E10:E13,D10:D13&lt;6))</f>
        <v>650</v>
      </c>
    </row>
    <row r="15" spans="2:10" ht="21.75" customHeight="1" x14ac:dyDescent="0.25">
      <c r="B15" s="38" t="s">
        <v>215</v>
      </c>
      <c r="C15" s="38"/>
      <c r="D15" s="38"/>
      <c r="E15" s="38"/>
      <c r="G15" s="35" t="s">
        <v>274</v>
      </c>
    </row>
    <row r="16" spans="2:10" ht="24" x14ac:dyDescent="0.25">
      <c r="B16" s="6" t="s">
        <v>216</v>
      </c>
      <c r="C16" s="6" t="s">
        <v>217</v>
      </c>
      <c r="D16" s="6" t="s">
        <v>92</v>
      </c>
      <c r="E16" s="6" t="s">
        <v>218</v>
      </c>
      <c r="G16" s="36" cm="1">
        <f t="array" ref="G16">AVERAGE(_xlfn._xlws.FILTER(D10:D13,E10:E13&gt;250))</f>
        <v>5.5</v>
      </c>
    </row>
    <row r="17" spans="2:7" ht="24" x14ac:dyDescent="0.25">
      <c r="B17" s="3" t="s">
        <v>219</v>
      </c>
      <c r="C17" s="3" t="s">
        <v>220</v>
      </c>
      <c r="D17" s="19">
        <f>INDEX(D10:D13,MATCH("SKU-003",C10:C13,0))</f>
        <v>2.5</v>
      </c>
      <c r="E17" s="20" t="s">
        <v>221</v>
      </c>
      <c r="G17" s="54" t="s">
        <v>275</v>
      </c>
    </row>
    <row r="18" spans="2:7" ht="24" x14ac:dyDescent="0.25">
      <c r="B18" s="5" t="s">
        <v>222</v>
      </c>
      <c r="C18" s="5" t="s">
        <v>220</v>
      </c>
      <c r="D18" s="21">
        <f>INDEX(E10:E13,MATCH("SKU-002",C10:C13,0))</f>
        <v>150</v>
      </c>
      <c r="E18" s="22" t="s">
        <v>223</v>
      </c>
      <c r="G18" s="36">
        <f>MATCH(D12,D10:D13,0)</f>
        <v>3</v>
      </c>
    </row>
    <row r="19" spans="2:7" ht="48" x14ac:dyDescent="0.25">
      <c r="B19" s="3" t="s">
        <v>224</v>
      </c>
      <c r="C19" s="3" t="s">
        <v>225</v>
      </c>
      <c r="D19" s="19" t="str">
        <f>INDEX(C10:C13,MATCH("Água Mineral",B10:B13,0))</f>
        <v>SKU-003</v>
      </c>
      <c r="E19" s="20" t="s">
        <v>226</v>
      </c>
      <c r="G19" s="36">
        <f>MATCH("SKU-002",C10:C13,0)</f>
        <v>2</v>
      </c>
    </row>
    <row r="20" spans="2:7" x14ac:dyDescent="0.25">
      <c r="G20" s="56" t="s">
        <v>276</v>
      </c>
    </row>
    <row r="21" spans="2:7" ht="37.5" customHeight="1" x14ac:dyDescent="0.25">
      <c r="B21" s="39" t="s">
        <v>227</v>
      </c>
      <c r="C21" s="39"/>
      <c r="D21" s="39"/>
      <c r="E21" s="39"/>
      <c r="G21" s="55"/>
    </row>
    <row r="22" spans="2:7" x14ac:dyDescent="0.25">
      <c r="G22" s="36">
        <f>INDEX(D10:D13,3)</f>
        <v>2.5</v>
      </c>
    </row>
    <row r="23" spans="2:7" x14ac:dyDescent="0.25">
      <c r="G23" s="35" t="s">
        <v>277</v>
      </c>
    </row>
    <row r="24" spans="2:7" x14ac:dyDescent="0.25">
      <c r="G24" s="36">
        <f>INDEX(E10:E13,4)</f>
        <v>200</v>
      </c>
    </row>
    <row r="25" spans="2:7" x14ac:dyDescent="0.25">
      <c r="G25" s="35" t="s">
        <v>278</v>
      </c>
    </row>
    <row r="26" spans="2:7" x14ac:dyDescent="0.25">
      <c r="G26" s="36">
        <f>INDEX(D10:D13,MATCH("SKU-004",C10:C13,0))</f>
        <v>6</v>
      </c>
    </row>
    <row r="27" spans="2:7" x14ac:dyDescent="0.25">
      <c r="G27" s="36" t="str">
        <f>INDEX(B10:B13,MATCH("SKU-003",C10:C13,0))</f>
        <v>Água Mineral</v>
      </c>
    </row>
  </sheetData>
  <mergeCells count="9">
    <mergeCell ref="G20:G21"/>
    <mergeCell ref="B8:E8"/>
    <mergeCell ref="B15:E15"/>
    <mergeCell ref="B21:E21"/>
    <mergeCell ref="B1:E1"/>
    <mergeCell ref="B2:E2"/>
    <mergeCell ref="B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15"/>
  <sheetViews>
    <sheetView showGridLines="0" tabSelected="1" zoomScaleNormal="100" workbookViewId="0">
      <selection activeCell="C7" sqref="C7"/>
    </sheetView>
  </sheetViews>
  <sheetFormatPr defaultColWidth="8.7109375" defaultRowHeight="15" x14ac:dyDescent="0.25"/>
  <cols>
    <col min="1" max="1" width="2" customWidth="1"/>
    <col min="2" max="2" width="24" customWidth="1"/>
    <col min="3" max="3" width="36" customWidth="1"/>
    <col min="4" max="4" width="2" customWidth="1"/>
    <col min="5" max="5" width="24" customWidth="1"/>
    <col min="6" max="6" width="36" customWidth="1"/>
  </cols>
  <sheetData>
    <row r="1" spans="2:6" ht="31.5" customHeight="1" x14ac:dyDescent="0.25">
      <c r="B1" s="40" t="s">
        <v>228</v>
      </c>
      <c r="C1" s="40"/>
      <c r="D1" s="40"/>
      <c r="E1" s="40"/>
    </row>
    <row r="3" spans="2:6" ht="21.75" customHeight="1" x14ac:dyDescent="0.25">
      <c r="B3" s="37" t="s">
        <v>229</v>
      </c>
      <c r="C3" s="37"/>
      <c r="E3" s="42" t="s">
        <v>230</v>
      </c>
      <c r="F3" s="42"/>
    </row>
    <row r="4" spans="2:6" ht="21.75" customHeight="1" x14ac:dyDescent="0.25">
      <c r="B4" s="9" t="s">
        <v>231</v>
      </c>
      <c r="C4" s="5" t="s">
        <v>232</v>
      </c>
      <c r="E4" s="9" t="s">
        <v>233</v>
      </c>
      <c r="F4" s="5" t="s">
        <v>234</v>
      </c>
    </row>
    <row r="5" spans="2:6" ht="21.75" customHeight="1" x14ac:dyDescent="0.25">
      <c r="B5" s="11" t="s">
        <v>235</v>
      </c>
      <c r="C5" s="3" t="s">
        <v>236</v>
      </c>
      <c r="E5" s="11" t="s">
        <v>237</v>
      </c>
      <c r="F5" s="3" t="s">
        <v>238</v>
      </c>
    </row>
    <row r="6" spans="2:6" ht="21.75" customHeight="1" x14ac:dyDescent="0.25">
      <c r="B6" s="9" t="s">
        <v>239</v>
      </c>
      <c r="C6" s="5" t="s">
        <v>240</v>
      </c>
      <c r="E6" s="9" t="s">
        <v>241</v>
      </c>
      <c r="F6" s="5" t="s">
        <v>242</v>
      </c>
    </row>
    <row r="7" spans="2:6" ht="21.75" customHeight="1" x14ac:dyDescent="0.25">
      <c r="B7" s="11" t="s">
        <v>243</v>
      </c>
      <c r="C7" s="3" t="s">
        <v>244</v>
      </c>
      <c r="E7" s="11" t="s">
        <v>245</v>
      </c>
      <c r="F7" s="3" t="s">
        <v>246</v>
      </c>
    </row>
    <row r="9" spans="2:6" ht="21.75" customHeight="1" x14ac:dyDescent="0.25">
      <c r="B9" s="37" t="s">
        <v>247</v>
      </c>
      <c r="C9" s="37"/>
      <c r="E9" s="42" t="s">
        <v>248</v>
      </c>
      <c r="F9" s="42"/>
    </row>
    <row r="10" spans="2:6" ht="21.75" customHeight="1" x14ac:dyDescent="0.25">
      <c r="B10" s="9" t="s">
        <v>249</v>
      </c>
      <c r="C10" s="5" t="s">
        <v>250</v>
      </c>
      <c r="E10" s="9" t="s">
        <v>251</v>
      </c>
      <c r="F10" s="5" t="s">
        <v>252</v>
      </c>
    </row>
    <row r="11" spans="2:6" ht="21.75" customHeight="1" x14ac:dyDescent="0.25">
      <c r="B11" s="11" t="s">
        <v>253</v>
      </c>
      <c r="C11" s="3" t="s">
        <v>254</v>
      </c>
      <c r="E11" s="11" t="s">
        <v>255</v>
      </c>
      <c r="F11" s="3" t="s">
        <v>256</v>
      </c>
    </row>
    <row r="12" spans="2:6" ht="21.75" customHeight="1" x14ac:dyDescent="0.25">
      <c r="B12" s="9" t="s">
        <v>257</v>
      </c>
      <c r="C12" s="5" t="s">
        <v>258</v>
      </c>
      <c r="E12" s="9" t="s">
        <v>259</v>
      </c>
      <c r="F12" s="5" t="s">
        <v>260</v>
      </c>
    </row>
    <row r="13" spans="2:6" ht="21.75" customHeight="1" x14ac:dyDescent="0.25">
      <c r="B13" s="11" t="s">
        <v>261</v>
      </c>
      <c r="C13" s="3" t="s">
        <v>262</v>
      </c>
      <c r="E13" s="11" t="s">
        <v>263</v>
      </c>
      <c r="F13" s="3" t="s">
        <v>264</v>
      </c>
    </row>
    <row r="15" spans="2:6" ht="43.5" customHeight="1" x14ac:dyDescent="0.25">
      <c r="B15" s="47" t="s">
        <v>265</v>
      </c>
      <c r="C15" s="47"/>
      <c r="D15" s="47"/>
      <c r="E15" s="47"/>
    </row>
  </sheetData>
  <mergeCells count="6">
    <mergeCell ref="B15:E15"/>
    <mergeCell ref="B1:E1"/>
    <mergeCell ref="B3:C3"/>
    <mergeCell ref="E3:F3"/>
    <mergeCell ref="B9:C9"/>
    <mergeCell ref="E9:F9"/>
  </mergeCells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50A0543B64564E82C498FF36F45A04" ma:contentTypeVersion="5" ma:contentTypeDescription="Create a new document." ma:contentTypeScope="" ma:versionID="c1dd9d292cd75eff6f21ff0c42a87ac6">
  <xsd:schema xmlns:xsd="http://www.w3.org/2001/XMLSchema" xmlns:xs="http://www.w3.org/2001/XMLSchema" xmlns:p="http://schemas.microsoft.com/office/2006/metadata/properties" xmlns:ns3="12b183e5-42b9-4595-b12d-58c17c12e517" targetNamespace="http://schemas.microsoft.com/office/2006/metadata/properties" ma:root="true" ma:fieldsID="c6427a7e43d2f94b03e78ac895b974e1" ns3:_="">
    <xsd:import namespace="12b183e5-42b9-4595-b12d-58c17c12e51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b183e5-42b9-4595-b12d-58c17c12e51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845BB1E-D64F-4170-8B61-6D075F14C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D405CC-B3DF-468B-8FBC-3613794F63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b183e5-42b9-4595-b12d-58c17c12e51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F5D802E-004F-4113-8A20-D2540990DB88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12b183e5-42b9-4595-b12d-58c17c12e517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📋 Índice</vt:lpstr>
      <vt:lpstr>1️⃣ SOMA &amp; MÉDIA</vt:lpstr>
      <vt:lpstr>2️⃣ SE (IF)</vt:lpstr>
      <vt:lpstr>3️⃣ SOMASE &amp; CONT.SE</vt:lpstr>
      <vt:lpstr>5️⃣ TEXTO &amp; DATA</vt:lpstr>
      <vt:lpstr>4️⃣ PROCV (VLOOKUP)</vt:lpstr>
      <vt:lpstr>6️⃣ ÍNDICE+CORRESP</vt:lpstr>
      <vt:lpstr>7️⃣ Atalhos &amp; Dicas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RAFAEL ANDRADE DUTRA DOS SANTOS</cp:lastModifiedBy>
  <cp:revision>0</cp:revision>
  <dcterms:created xsi:type="dcterms:W3CDTF">2026-03-21T00:41:57Z</dcterms:created>
  <dcterms:modified xsi:type="dcterms:W3CDTF">2026-03-24T02:47:54Z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0x0101002650A0543B64564E82C498FF36F45A04</vt:lpwstr>
  </property>
</Properties>
</file>